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2c5b5d42b77a29/Junior Year/Fall 2020/Marketing Research/"/>
    </mc:Choice>
  </mc:AlternateContent>
  <xr:revisionPtr revIDLastSave="13" documentId="8_{478B40D5-7D08-4E11-BA00-40BD2C0A3716}" xr6:coauthVersionLast="45" xr6:coauthVersionMax="45" xr10:uidLastSave="{96EC9F3E-253B-472A-B1A0-8FAEC36CC9A5}"/>
  <bookViews>
    <workbookView xWindow="-110" yWindow="-110" windowWidth="19420" windowHeight="11020" xr2:uid="{4984AE36-E5F4-4D6C-A9B2-ED96921F763C}"/>
  </bookViews>
  <sheets>
    <sheet name="Summary" sheetId="7" r:id="rId1"/>
    <sheet name="% live alone" sheetId="3" r:id="rId2"/>
    <sheet name="# living alone" sheetId="5" r:id="rId3"/>
    <sheet name="Median personal income" sheetId="6" r:id="rId4"/>
  </sheets>
  <definedNames>
    <definedName name="_xlnm._FilterDatabase" localSheetId="0" hidden="1">Summary!$A$1:$I$1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7" l="1"/>
  <c r="I5" i="7"/>
  <c r="I49" i="7"/>
  <c r="I11" i="7"/>
  <c r="I7" i="7"/>
  <c r="I12" i="7"/>
  <c r="I20" i="7"/>
  <c r="I6" i="7"/>
  <c r="I23" i="7"/>
  <c r="I47" i="7"/>
  <c r="I14" i="7"/>
  <c r="I8" i="7"/>
  <c r="I4" i="7"/>
  <c r="I21" i="7"/>
  <c r="I51" i="7"/>
  <c r="I45" i="7"/>
  <c r="I29" i="7"/>
  <c r="I16" i="7"/>
  <c r="I32" i="7"/>
  <c r="I18" i="7"/>
  <c r="I44" i="7"/>
  <c r="I38" i="7"/>
  <c r="I28" i="7"/>
  <c r="I36" i="7"/>
  <c r="I26" i="7"/>
  <c r="I50" i="7"/>
  <c r="I46" i="7"/>
  <c r="I31" i="7"/>
  <c r="I17" i="7"/>
  <c r="I24" i="7"/>
  <c r="I22" i="7"/>
  <c r="I9" i="7"/>
  <c r="I27" i="7"/>
  <c r="I39" i="7"/>
  <c r="I35" i="7"/>
  <c r="I10" i="7"/>
  <c r="I30" i="7"/>
  <c r="I15" i="7"/>
  <c r="I25" i="7"/>
  <c r="I40" i="7"/>
  <c r="I37" i="7"/>
  <c r="I19" i="7"/>
  <c r="I13" i="7"/>
  <c r="I3" i="7"/>
  <c r="I33" i="7"/>
  <c r="I42" i="7"/>
  <c r="I41" i="7"/>
  <c r="I43" i="7"/>
  <c r="I2" i="7"/>
  <c r="I48" i="7"/>
</calcChain>
</file>

<file path=xl/sharedStrings.xml><?xml version="1.0" encoding="utf-8"?>
<sst xmlns="http://schemas.openxmlformats.org/spreadsheetml/2006/main" count="224" uniqueCount="59">
  <si>
    <t>Cleveland, OH</t>
  </si>
  <si>
    <t>Atlanta, GA</t>
  </si>
  <si>
    <t>New Orleans, LA</t>
  </si>
  <si>
    <t>Washington, DC</t>
  </si>
  <si>
    <t>Detroit, MI</t>
  </si>
  <si>
    <t>Denver, CO</t>
  </si>
  <si>
    <t>Seattle, WA</t>
  </si>
  <si>
    <t>Baltimore, MD</t>
  </si>
  <si>
    <t>Minneapolis, MN</t>
  </si>
  <si>
    <t>Memphis, TN</t>
  </si>
  <si>
    <t>Kansas City, MO</t>
  </si>
  <si>
    <t>Indianapolis, IN</t>
  </si>
  <si>
    <t>Milwaukee, WI</t>
  </si>
  <si>
    <t>Philadelphia, PA</t>
  </si>
  <si>
    <t>Columbus, OH</t>
  </si>
  <si>
    <t>Chicago, IL</t>
  </si>
  <si>
    <t>Tulsa, OK</t>
  </si>
  <si>
    <t>Dallas, TX</t>
  </si>
  <si>
    <t>Albuquerque, NM</t>
  </si>
  <si>
    <t>Boston, MA</t>
  </si>
  <si>
    <t>Tampa, FL</t>
  </si>
  <si>
    <t>Tucson, AZ</t>
  </si>
  <si>
    <t>Portland, OR</t>
  </si>
  <si>
    <t>Raleigh, NC</t>
  </si>
  <si>
    <t>Wichita, KS</t>
  </si>
  <si>
    <t>Omaha, NE</t>
  </si>
  <si>
    <t>Miami, FL</t>
  </si>
  <si>
    <t>Louisville, KY</t>
  </si>
  <si>
    <t>Austin, TX</t>
  </si>
  <si>
    <t>Nashville, TN</t>
  </si>
  <si>
    <t>Oakland, CA</t>
  </si>
  <si>
    <t>San Francisco, CA</t>
  </si>
  <si>
    <t>Oklahoma City, OK</t>
  </si>
  <si>
    <t>Charlotte, NC</t>
  </si>
  <si>
    <t>Long Beach, CA</t>
  </si>
  <si>
    <t>Jacksonville, FL</t>
  </si>
  <si>
    <t>New York, NY</t>
  </si>
  <si>
    <t>Houston, TX</t>
  </si>
  <si>
    <t>Colorado Springs, CO</t>
  </si>
  <si>
    <t>Sacramento, CA</t>
  </si>
  <si>
    <t>San Antonio, TX</t>
  </si>
  <si>
    <t>Las Vegas, NV</t>
  </si>
  <si>
    <t>Los Angeles, CA</t>
  </si>
  <si>
    <t>Phoenix, AZ</t>
  </si>
  <si>
    <t>Virginia Beach, VA</t>
  </si>
  <si>
    <t>Aurora, CO</t>
  </si>
  <si>
    <t>El Paso, TX</t>
  </si>
  <si>
    <t>San Diego, CA</t>
  </si>
  <si>
    <t>Fort Worth, TX</t>
  </si>
  <si>
    <t>Mesa, AZ</t>
  </si>
  <si>
    <t>City</t>
  </si>
  <si>
    <t>Percentage of adults who live alone</t>
  </si>
  <si>
    <t>Total number of adults living alone</t>
  </si>
  <si>
    <t>Median personal income</t>
  </si>
  <si>
    <t>Income Rank</t>
  </si>
  <si>
    <t># alone Rank</t>
  </si>
  <si>
    <t>% alone Rank</t>
  </si>
  <si>
    <t>Overall Rank</t>
  </si>
  <si>
    <t>Overall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</si>
</sst>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72" formatCode="_(* #,##0_);_(* \(#,##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color rgb="FF333333"/>
      <name val="Ubuntu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vertical="center" wrapText="1"/>
    </xf>
    <xf numFmtId="10" fontId="2" fillId="2" borderId="0" xfId="0" applyNumberFormat="1" applyFont="1" applyFill="1" applyAlignment="1">
      <alignment vertical="center" wrapText="1"/>
    </xf>
    <xf numFmtId="3" fontId="2" fillId="2" borderId="0" xfId="0" applyNumberFormat="1" applyFont="1" applyFill="1" applyAlignment="1">
      <alignment vertical="center" wrapText="1"/>
    </xf>
    <xf numFmtId="6" fontId="2" fillId="2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10" fontId="2" fillId="3" borderId="0" xfId="0" applyNumberFormat="1" applyFont="1" applyFill="1" applyAlignment="1">
      <alignment vertical="center" wrapText="1"/>
    </xf>
    <xf numFmtId="3" fontId="2" fillId="3" borderId="0" xfId="0" applyNumberFormat="1" applyFont="1" applyFill="1" applyAlignment="1">
      <alignment vertical="center" wrapText="1"/>
    </xf>
    <xf numFmtId="6" fontId="2" fillId="3" borderId="0" xfId="0" applyNumberFormat="1" applyFont="1" applyFill="1" applyAlignment="1">
      <alignment vertical="center" wrapText="1"/>
    </xf>
    <xf numFmtId="0" fontId="0" fillId="0" borderId="0" xfId="0" applyAlignment="1">
      <alignment horizontal="left" vertical="top" wrapText="1"/>
    </xf>
    <xf numFmtId="9" fontId="0" fillId="0" borderId="0" xfId="2" applyFont="1"/>
    <xf numFmtId="172" fontId="0" fillId="0" borderId="0" xfId="1" applyNumberFormat="1" applyFont="1"/>
    <xf numFmtId="4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24">
    <dxf>
      <alignment horizontal="left" vertical="top" textRotation="0" wrapText="1" indent="0" justifyLastLine="0" shrinkToFit="0" readingOrder="0"/>
    </dxf>
    <dxf>
      <numFmt numFmtId="34" formatCode="_(&quot;$&quot;* #,##0.00_);_(&quot;$&quot;* \(#,##0.00\);_(&quot;$&quot;* &quot;-&quot;??_);_(@_)"/>
    </dxf>
    <dxf>
      <numFmt numFmtId="172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33333"/>
        <name val="Ubuntu"/>
        <scheme val="none"/>
      </font>
      <numFmt numFmtId="10" formatCode="&quot;$&quot;#,##0_);[Red]\(&quot;$&quot;#,##0\)"/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33333"/>
        <name val="Ubuntu"/>
        <scheme val="none"/>
      </font>
      <numFmt numFmtId="3" formatCode="#,##0"/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33333"/>
        <name val="Ubuntu"/>
        <scheme val="none"/>
      </font>
      <numFmt numFmtId="14" formatCode="0.00%"/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33333"/>
        <name val="Ubuntu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33333"/>
        <name val="Ubuntu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33333"/>
        <name val="Ubuntu"/>
        <scheme val="none"/>
      </font>
      <fill>
        <patternFill patternType="solid">
          <fgColor rgb="FF000000"/>
          <bgColor rgb="FFEEEEEE"/>
        </patternFill>
      </fill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33333"/>
        <name val="Ubuntu"/>
        <scheme val="none"/>
      </font>
      <numFmt numFmtId="10" formatCode="&quot;$&quot;#,##0_);[Red]\(&quot;$&quot;#,##0\)"/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33333"/>
        <name val="Ubuntu"/>
        <scheme val="none"/>
      </font>
      <numFmt numFmtId="3" formatCode="#,##0"/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33333"/>
        <name val="Ubuntu"/>
        <scheme val="none"/>
      </font>
      <numFmt numFmtId="14" formatCode="0.00%"/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33333"/>
        <name val="Ubuntu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33333"/>
        <name val="Ubuntu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33333"/>
        <name val="Ubuntu"/>
        <scheme val="none"/>
      </font>
      <fill>
        <patternFill patternType="solid">
          <fgColor rgb="FF000000"/>
          <bgColor rgb="FFEEEEEE"/>
        </patternFill>
      </fill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33333"/>
        <name val="Ubuntu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33333"/>
        <name val="Ubuntu"/>
        <scheme val="none"/>
      </font>
      <numFmt numFmtId="10" formatCode="&quot;$&quot;#,##0_);[Red]\(&quot;$&quot;#,##0\)"/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33333"/>
        <name val="Ubuntu"/>
        <scheme val="none"/>
      </font>
      <numFmt numFmtId="3" formatCode="#,##0"/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33333"/>
        <name val="Ubuntu"/>
        <scheme val="none"/>
      </font>
      <numFmt numFmtId="14" formatCode="0.00%"/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33333"/>
        <name val="Ubuntu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33333"/>
        <name val="Ubuntu"/>
        <scheme val="none"/>
      </font>
      <fill>
        <patternFill patternType="solid">
          <fgColor indexed="64"/>
          <bgColor rgb="FFEEEEEE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9844B5-9493-4FC6-9893-EF60563E42BD}" name="Table4" displayName="Table4" ref="A1:I51" totalsRowShown="0" headerRowDxfId="0" headerRowCellStyle="Normal" dataCellStyle="Normal">
  <autoFilter ref="A1:I51" xr:uid="{AD4C3596-5162-4F5F-8595-C125F0CD6E40}"/>
  <sortState xmlns:xlrd2="http://schemas.microsoft.com/office/spreadsheetml/2017/richdata2" ref="A2:I51">
    <sortCondition ref="I1:I51"/>
  </sortState>
  <tableColumns count="9">
    <tableColumn id="1" xr3:uid="{D71FD361-C2AC-4646-9899-9771D643A6C4}" name="City" dataCellStyle="Normal"/>
    <tableColumn id="9" xr3:uid="{94DD16C9-CBFB-4BE8-BC28-A0DDD033A184}" name="Overall Rank"/>
    <tableColumn id="6" xr3:uid="{15866CF3-EE4D-48FF-850A-185758F9A050}" name="Percentage of adults who live alone" dataCellStyle="Percent"/>
    <tableColumn id="2" xr3:uid="{C51664FD-FCDD-4B15-8F89-DD512609BDCD}" name="% alone Rank" dataCellStyle="Normal"/>
    <tableColumn id="7" xr3:uid="{00C5EC3F-1EB1-4E7D-B72C-2B438D7594FC}" name="Total number of adults living alone" dataDxfId="2" dataCellStyle="Comma"/>
    <tableColumn id="3" xr3:uid="{B94D7BDB-FD81-4262-96E4-4BA355D11BB2}" name="# alone Rank" dataCellStyle="Normal"/>
    <tableColumn id="8" xr3:uid="{554403A8-1EA0-444F-AC6D-07422FE1AF13}" name="Median personal income" dataDxfId="1" dataCellStyle="Normal"/>
    <tableColumn id="4" xr3:uid="{BE223AF1-5398-4A15-85A4-31FC808B96A3}" name="Income Rank" dataCellStyle="Normal"/>
    <tableColumn id="5" xr3:uid="{2D4B6623-E463-4960-8554-BBA6780A6B1E}" name="Overall Score" dataCellStyle="Normal">
      <calculatedColumnFormula>Table4[[#This Row],[% alone Rank]]+Table4[[#This Row],['# alone Rank]]+Table4[[#This Row],[Income Rank]]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72D653-EF7B-484F-BC1F-9A8BCA410F77}" name="Table1" displayName="Table1" ref="A1:E51" totalsRowShown="0" headerRowDxfId="17" dataDxfId="18">
  <autoFilter ref="A1:E51" xr:uid="{5DB37E4D-3F98-4CA4-8859-E83735F6FCD9}"/>
  <sortState xmlns:xlrd2="http://schemas.microsoft.com/office/spreadsheetml/2017/richdata2" ref="A2:E51">
    <sortCondition ref="B1:B51"/>
  </sortState>
  <tableColumns count="5">
    <tableColumn id="1" xr3:uid="{832FEFFA-538D-46AF-AE1D-392F3FF74A72}" name="% alone Rank" dataDxfId="23"/>
    <tableColumn id="2" xr3:uid="{BC0DA9CE-AF28-4C05-B125-3F4441BA80D4}" name="City" dataDxfId="22"/>
    <tableColumn id="3" xr3:uid="{6283ACD1-2FB6-47B5-9A54-E3645A3A2988}" name="Percentage of adults who live alone" dataDxfId="21"/>
    <tableColumn id="5" xr3:uid="{9C62481F-105F-46D7-800E-3BE6B5123913}" name="Total number of adults living alone" dataDxfId="20"/>
    <tableColumn id="6" xr3:uid="{E2ECFC37-11E0-4713-A6EB-A04C0CA7968D}" name="Median personal income" dataDxfId="19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3E03B8-16E7-4AB3-95E4-8723C2EE414D}" name="Table13" displayName="Table13" ref="A1:E51" totalsRowShown="0" headerRowDxfId="16" dataDxfId="15">
  <autoFilter ref="A1:E51" xr:uid="{5DB37E4D-3F98-4CA4-8859-E83735F6FCD9}"/>
  <sortState xmlns:xlrd2="http://schemas.microsoft.com/office/spreadsheetml/2017/richdata2" ref="A2:E51">
    <sortCondition ref="B1:B51"/>
  </sortState>
  <tableColumns count="5">
    <tableColumn id="1" xr3:uid="{F7366CC8-83D2-452E-8CB3-EB28B875652B}" name="# alone Rank" dataDxfId="14"/>
    <tableColumn id="2" xr3:uid="{03078509-9E73-4ED7-9069-1A04D30DE48E}" name="City" dataDxfId="13"/>
    <tableColumn id="3" xr3:uid="{5FC757AF-BED4-43AB-BFEA-46B99ECA948D}" name="Percentage of adults who live alone" dataDxfId="12"/>
    <tableColumn id="5" xr3:uid="{16E7CA12-F3EA-4EDE-9876-E899F2AC8663}" name="Total number of adults living alone" dataDxfId="11"/>
    <tableColumn id="6" xr3:uid="{A96C578B-2D15-482B-8910-9263DFF4D344}" name="Median personal income" dataDxfId="10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DF7FBE-0B47-49F1-971F-9C0348FBD086}" name="Table134" displayName="Table134" ref="A1:E51" totalsRowShown="0" headerRowDxfId="9" dataDxfId="8">
  <autoFilter ref="A1:E51" xr:uid="{5DB37E4D-3F98-4CA4-8859-E83735F6FCD9}"/>
  <sortState xmlns:xlrd2="http://schemas.microsoft.com/office/spreadsheetml/2017/richdata2" ref="A2:E51">
    <sortCondition ref="B1:B51"/>
  </sortState>
  <tableColumns count="5">
    <tableColumn id="1" xr3:uid="{D75EC62D-FFAB-4303-9A47-0094C78EEB46}" name="Income Rank" dataDxfId="7"/>
    <tableColumn id="2" xr3:uid="{0F2286BD-ACD8-4C52-B7A4-9FB43C802581}" name="City" dataDxfId="6"/>
    <tableColumn id="3" xr3:uid="{1346B9A9-F08C-4F7E-BCF4-C680BD14A41A}" name="Percentage of adults who live alone" dataDxfId="5"/>
    <tableColumn id="5" xr3:uid="{05D9527C-C41B-4D0B-B00C-07BCD1EBAB39}" name="Total number of adults living alone" dataDxfId="4"/>
    <tableColumn id="6" xr3:uid="{991AA653-4067-4C77-B222-1D56F9B84E95}" name="Median personal income" dataDxfId="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B955-C2FF-43A7-ADD5-ECEE323A64CD}">
  <dimension ref="A1:I51"/>
  <sheetViews>
    <sheetView tabSelected="1" workbookViewId="0">
      <selection activeCell="K7" sqref="K7"/>
    </sheetView>
  </sheetViews>
  <sheetFormatPr defaultRowHeight="14.5"/>
  <cols>
    <col min="1" max="1" width="18.453125" bestFit="1" customWidth="1"/>
    <col min="2" max="2" width="11.36328125" customWidth="1"/>
    <col min="3" max="3" width="18.453125" customWidth="1"/>
    <col min="4" max="4" width="13.54296875" customWidth="1"/>
    <col min="5" max="5" width="21.81640625" customWidth="1"/>
    <col min="6" max="6" width="13.90625" customWidth="1"/>
    <col min="7" max="7" width="23.08984375" customWidth="1"/>
    <col min="8" max="8" width="13.7265625" customWidth="1"/>
    <col min="9" max="9" width="13.81640625" customWidth="1"/>
  </cols>
  <sheetData>
    <row r="1" spans="1:9" ht="31" customHeight="1">
      <c r="A1" s="9" t="s">
        <v>50</v>
      </c>
      <c r="B1" s="9" t="s">
        <v>57</v>
      </c>
      <c r="C1" s="9" t="s">
        <v>51</v>
      </c>
      <c r="D1" s="9" t="s">
        <v>56</v>
      </c>
      <c r="E1" s="9" t="s">
        <v>52</v>
      </c>
      <c r="F1" s="9" t="s">
        <v>55</v>
      </c>
      <c r="G1" s="9" t="s">
        <v>53</v>
      </c>
      <c r="H1" s="9" t="s">
        <v>54</v>
      </c>
      <c r="I1" s="9" t="s">
        <v>58</v>
      </c>
    </row>
    <row r="2" spans="1:9">
      <c r="A2" t="s">
        <v>3</v>
      </c>
      <c r="B2">
        <v>1</v>
      </c>
      <c r="C2" s="10">
        <v>0.24399999999999999</v>
      </c>
      <c r="D2">
        <v>4</v>
      </c>
      <c r="E2" s="11">
        <v>131010</v>
      </c>
      <c r="F2">
        <v>10</v>
      </c>
      <c r="G2" s="12">
        <v>57851</v>
      </c>
      <c r="H2">
        <v>2</v>
      </c>
      <c r="I2">
        <f>Table4[[#This Row],[% alone Rank]]+Table4[[#This Row],['# alone Rank]]+Table4[[#This Row],[Income Rank]]</f>
        <v>16</v>
      </c>
    </row>
    <row r="3" spans="1:9">
      <c r="A3" t="s">
        <v>6</v>
      </c>
      <c r="B3">
        <v>2</v>
      </c>
      <c r="C3" s="10">
        <v>0.21199999999999999</v>
      </c>
      <c r="D3">
        <v>7</v>
      </c>
      <c r="E3" s="11">
        <v>129437</v>
      </c>
      <c r="F3">
        <v>13</v>
      </c>
      <c r="G3" s="12">
        <v>52385</v>
      </c>
      <c r="H3">
        <v>3</v>
      </c>
      <c r="I3">
        <f>Table4[[#This Row],[% alone Rank]]+Table4[[#This Row],['# alone Rank]]+Table4[[#This Row],[Income Rank]]</f>
        <v>23</v>
      </c>
    </row>
    <row r="4" spans="1:9">
      <c r="A4" t="s">
        <v>5</v>
      </c>
      <c r="B4">
        <v>3</v>
      </c>
      <c r="C4" s="10">
        <v>0.22</v>
      </c>
      <c r="D4">
        <v>6</v>
      </c>
      <c r="E4" s="11">
        <v>123572</v>
      </c>
      <c r="F4">
        <v>16</v>
      </c>
      <c r="G4" s="12">
        <v>42409</v>
      </c>
      <c r="H4">
        <v>6</v>
      </c>
      <c r="I4">
        <f>Table4[[#This Row],[% alone Rank]]+Table4[[#This Row],['# alone Rank]]+Table4[[#This Row],[Income Rank]]</f>
        <v>28</v>
      </c>
    </row>
    <row r="5" spans="1:9">
      <c r="A5" t="s">
        <v>1</v>
      </c>
      <c r="B5">
        <v>4</v>
      </c>
      <c r="C5" s="10">
        <v>0.26500000000000001</v>
      </c>
      <c r="D5">
        <v>2</v>
      </c>
      <c r="E5" s="11">
        <v>97906</v>
      </c>
      <c r="F5">
        <v>22</v>
      </c>
      <c r="G5" s="12">
        <v>43813</v>
      </c>
      <c r="H5">
        <v>5</v>
      </c>
      <c r="I5">
        <f>Table4[[#This Row],[% alone Rank]]+Table4[[#This Row],['# alone Rank]]+Table4[[#This Row],[Income Rank]]</f>
        <v>29</v>
      </c>
    </row>
    <row r="6" spans="1:9">
      <c r="A6" t="s">
        <v>15</v>
      </c>
      <c r="B6">
        <v>5</v>
      </c>
      <c r="C6" s="10">
        <v>0.192</v>
      </c>
      <c r="D6">
        <v>16</v>
      </c>
      <c r="E6" s="11">
        <v>402513</v>
      </c>
      <c r="F6">
        <v>3</v>
      </c>
      <c r="G6" s="12">
        <v>38778</v>
      </c>
      <c r="H6">
        <v>13</v>
      </c>
      <c r="I6">
        <f>Table4[[#This Row],[% alone Rank]]+Table4[[#This Row],['# alone Rank]]+Table4[[#This Row],[Income Rank]]</f>
        <v>32</v>
      </c>
    </row>
    <row r="7" spans="1:9">
      <c r="A7" t="s">
        <v>7</v>
      </c>
      <c r="B7">
        <v>6</v>
      </c>
      <c r="C7" s="10">
        <v>0.21</v>
      </c>
      <c r="D7">
        <v>8</v>
      </c>
      <c r="E7" s="11">
        <v>95673</v>
      </c>
      <c r="F7">
        <v>23</v>
      </c>
      <c r="G7" s="12">
        <v>36970</v>
      </c>
      <c r="H7">
        <v>16</v>
      </c>
      <c r="I7">
        <f>Table4[[#This Row],[% alone Rank]]+Table4[[#This Row],['# alone Rank]]+Table4[[#This Row],[Income Rank]]</f>
        <v>47</v>
      </c>
    </row>
    <row r="8" spans="1:9">
      <c r="A8" t="s">
        <v>17</v>
      </c>
      <c r="B8">
        <v>7</v>
      </c>
      <c r="C8" s="10">
        <v>0.19</v>
      </c>
      <c r="D8">
        <v>18</v>
      </c>
      <c r="E8" s="11">
        <v>189642</v>
      </c>
      <c r="F8">
        <v>6</v>
      </c>
      <c r="G8" s="12">
        <v>34421</v>
      </c>
      <c r="H8">
        <v>23</v>
      </c>
      <c r="I8">
        <f>Table4[[#This Row],[% alone Rank]]+Table4[[#This Row],['# alone Rank]]+Table4[[#This Row],[Income Rank]]</f>
        <v>47</v>
      </c>
    </row>
    <row r="9" spans="1:9">
      <c r="A9" t="s">
        <v>36</v>
      </c>
      <c r="B9">
        <v>8</v>
      </c>
      <c r="C9" s="10">
        <v>0.158</v>
      </c>
      <c r="D9">
        <v>37</v>
      </c>
      <c r="E9" s="11">
        <v>1024288</v>
      </c>
      <c r="F9">
        <v>1</v>
      </c>
      <c r="G9" s="12">
        <v>40932</v>
      </c>
      <c r="H9">
        <v>9</v>
      </c>
      <c r="I9">
        <f>Table4[[#This Row],[% alone Rank]]+Table4[[#This Row],['# alone Rank]]+Table4[[#This Row],[Income Rank]]</f>
        <v>47</v>
      </c>
    </row>
    <row r="10" spans="1:9">
      <c r="A10" t="s">
        <v>13</v>
      </c>
      <c r="B10">
        <v>9</v>
      </c>
      <c r="C10" s="10">
        <v>0.19500000000000001</v>
      </c>
      <c r="D10">
        <v>14</v>
      </c>
      <c r="E10" s="11">
        <v>232565</v>
      </c>
      <c r="F10">
        <v>5</v>
      </c>
      <c r="G10" s="12">
        <v>32550</v>
      </c>
      <c r="H10">
        <v>28</v>
      </c>
      <c r="I10">
        <f>Table4[[#This Row],[% alone Rank]]+Table4[[#This Row],['# alone Rank]]+Table4[[#This Row],[Income Rank]]</f>
        <v>47</v>
      </c>
    </row>
    <row r="11" spans="1:9">
      <c r="A11" t="s">
        <v>28</v>
      </c>
      <c r="B11">
        <v>10</v>
      </c>
      <c r="C11" s="10">
        <v>0.17199999999999999</v>
      </c>
      <c r="D11">
        <v>29</v>
      </c>
      <c r="E11" s="11">
        <v>129873</v>
      </c>
      <c r="F11">
        <v>12</v>
      </c>
      <c r="G11" s="12">
        <v>41653</v>
      </c>
      <c r="H11">
        <v>7</v>
      </c>
      <c r="I11">
        <f>Table4[[#This Row],[% alone Rank]]+Table4[[#This Row],['# alone Rank]]+Table4[[#This Row],[Income Rank]]</f>
        <v>48</v>
      </c>
    </row>
    <row r="12" spans="1:9">
      <c r="A12" t="s">
        <v>19</v>
      </c>
      <c r="B12">
        <v>11</v>
      </c>
      <c r="C12" s="10">
        <v>0.183</v>
      </c>
      <c r="D12">
        <v>20</v>
      </c>
      <c r="E12" s="11">
        <v>98649</v>
      </c>
      <c r="F12">
        <v>20</v>
      </c>
      <c r="G12" s="12">
        <v>41125</v>
      </c>
      <c r="H12">
        <v>8</v>
      </c>
      <c r="I12">
        <f>Table4[[#This Row],[% alone Rank]]+Table4[[#This Row],['# alone Rank]]+Table4[[#This Row],[Income Rank]]</f>
        <v>48</v>
      </c>
    </row>
    <row r="13" spans="1:9">
      <c r="A13" t="s">
        <v>31</v>
      </c>
      <c r="B13">
        <v>12</v>
      </c>
      <c r="C13" s="10">
        <v>0.16800000000000001</v>
      </c>
      <c r="D13">
        <v>32</v>
      </c>
      <c r="E13" s="11">
        <v>125317</v>
      </c>
      <c r="F13">
        <v>15</v>
      </c>
      <c r="G13" s="12">
        <v>65393</v>
      </c>
      <c r="H13">
        <v>1</v>
      </c>
      <c r="I13">
        <f>Table4[[#This Row],[% alone Rank]]+Table4[[#This Row],['# alone Rank]]+Table4[[#This Row],[Income Rank]]</f>
        <v>48</v>
      </c>
    </row>
    <row r="14" spans="1:9">
      <c r="A14" t="s">
        <v>14</v>
      </c>
      <c r="B14">
        <v>13</v>
      </c>
      <c r="C14" s="10">
        <v>0.193</v>
      </c>
      <c r="D14">
        <v>15</v>
      </c>
      <c r="E14" s="11">
        <v>130034</v>
      </c>
      <c r="F14">
        <v>11</v>
      </c>
      <c r="G14" s="12">
        <v>32262</v>
      </c>
      <c r="H14">
        <v>31</v>
      </c>
      <c r="I14">
        <f>Table4[[#This Row],[% alone Rank]]+Table4[[#This Row],['# alone Rank]]+Table4[[#This Row],[Income Rank]]</f>
        <v>57</v>
      </c>
    </row>
    <row r="15" spans="1:9">
      <c r="A15" t="s">
        <v>22</v>
      </c>
      <c r="B15">
        <v>14</v>
      </c>
      <c r="C15" s="10">
        <v>0.18099999999999999</v>
      </c>
      <c r="D15">
        <v>23</v>
      </c>
      <c r="E15" s="11">
        <v>94382</v>
      </c>
      <c r="F15">
        <v>24</v>
      </c>
      <c r="G15" s="12">
        <v>40331</v>
      </c>
      <c r="H15">
        <v>10</v>
      </c>
      <c r="I15">
        <f>Table4[[#This Row],[% alone Rank]]+Table4[[#This Row],['# alone Rank]]+Table4[[#This Row],[Income Rank]]</f>
        <v>57</v>
      </c>
    </row>
    <row r="16" spans="1:9">
      <c r="A16" t="s">
        <v>11</v>
      </c>
      <c r="B16">
        <v>15</v>
      </c>
      <c r="C16" s="10">
        <v>0.19900000000000001</v>
      </c>
      <c r="D16">
        <v>12</v>
      </c>
      <c r="E16" s="11">
        <v>127110</v>
      </c>
      <c r="F16">
        <v>14</v>
      </c>
      <c r="G16" s="12">
        <v>32122</v>
      </c>
      <c r="H16">
        <v>32</v>
      </c>
      <c r="I16">
        <f>Table4[[#This Row],[% alone Rank]]+Table4[[#This Row],['# alone Rank]]+Table4[[#This Row],[Income Rank]]</f>
        <v>58</v>
      </c>
    </row>
    <row r="17" spans="1:9">
      <c r="A17" t="s">
        <v>8</v>
      </c>
      <c r="B17">
        <v>16</v>
      </c>
      <c r="C17" s="10">
        <v>0.21</v>
      </c>
      <c r="D17">
        <v>9</v>
      </c>
      <c r="E17" s="11">
        <v>67978</v>
      </c>
      <c r="F17">
        <v>36</v>
      </c>
      <c r="G17" s="12">
        <v>36784</v>
      </c>
      <c r="H17">
        <v>17</v>
      </c>
      <c r="I17">
        <f>Table4[[#This Row],[% alone Rank]]+Table4[[#This Row],['# alone Rank]]+Table4[[#This Row],[Income Rank]]</f>
        <v>62</v>
      </c>
    </row>
    <row r="18" spans="1:9">
      <c r="A18" t="s">
        <v>10</v>
      </c>
      <c r="B18">
        <v>17</v>
      </c>
      <c r="C18" s="10">
        <v>0.20599999999999999</v>
      </c>
      <c r="D18">
        <v>11</v>
      </c>
      <c r="E18" s="11">
        <v>76281</v>
      </c>
      <c r="F18">
        <v>33</v>
      </c>
      <c r="G18" s="12">
        <v>36195</v>
      </c>
      <c r="H18">
        <v>19</v>
      </c>
      <c r="I18">
        <f>Table4[[#This Row],[% alone Rank]]+Table4[[#This Row],['# alone Rank]]+Table4[[#This Row],[Income Rank]]</f>
        <v>63</v>
      </c>
    </row>
    <row r="19" spans="1:9">
      <c r="A19" t="s">
        <v>47</v>
      </c>
      <c r="B19">
        <v>18</v>
      </c>
      <c r="C19" s="10">
        <v>0.125</v>
      </c>
      <c r="D19">
        <v>48</v>
      </c>
      <c r="E19" s="11">
        <v>137559</v>
      </c>
      <c r="F19">
        <v>9</v>
      </c>
      <c r="G19" s="12">
        <v>39500</v>
      </c>
      <c r="H19">
        <v>12</v>
      </c>
      <c r="I19">
        <f>Table4[[#This Row],[% alone Rank]]+Table4[[#This Row],['# alone Rank]]+Table4[[#This Row],[Income Rank]]</f>
        <v>69</v>
      </c>
    </row>
    <row r="20" spans="1:9">
      <c r="A20" t="s">
        <v>33</v>
      </c>
      <c r="B20">
        <v>19</v>
      </c>
      <c r="C20" s="10">
        <v>0.16400000000000001</v>
      </c>
      <c r="D20">
        <v>34</v>
      </c>
      <c r="E20" s="11">
        <v>108242</v>
      </c>
      <c r="F20">
        <v>18</v>
      </c>
      <c r="G20" s="12">
        <v>36340</v>
      </c>
      <c r="H20">
        <v>18</v>
      </c>
      <c r="I20">
        <f>Table4[[#This Row],[% alone Rank]]+Table4[[#This Row],['# alone Rank]]+Table4[[#This Row],[Income Rank]]</f>
        <v>70</v>
      </c>
    </row>
    <row r="21" spans="1:9">
      <c r="A21" t="s">
        <v>4</v>
      </c>
      <c r="B21">
        <v>20</v>
      </c>
      <c r="C21" s="10">
        <v>0.22500000000000001</v>
      </c>
      <c r="D21">
        <v>5</v>
      </c>
      <c r="E21" s="11">
        <v>111468</v>
      </c>
      <c r="F21">
        <v>17</v>
      </c>
      <c r="G21" s="12">
        <v>25389</v>
      </c>
      <c r="H21">
        <v>49</v>
      </c>
      <c r="I21">
        <f>Table4[[#This Row],[% alone Rank]]+Table4[[#This Row],['# alone Rank]]+Table4[[#This Row],[Income Rank]]</f>
        <v>71</v>
      </c>
    </row>
    <row r="22" spans="1:9">
      <c r="A22" t="s">
        <v>2</v>
      </c>
      <c r="B22">
        <v>21</v>
      </c>
      <c r="C22" s="10">
        <v>0.25900000000000001</v>
      </c>
      <c r="D22">
        <v>3</v>
      </c>
      <c r="E22" s="11">
        <v>76589</v>
      </c>
      <c r="F22">
        <v>32</v>
      </c>
      <c r="G22" s="12">
        <v>31346</v>
      </c>
      <c r="H22">
        <v>39</v>
      </c>
      <c r="I22">
        <f>Table4[[#This Row],[% alone Rank]]+Table4[[#This Row],['# alone Rank]]+Table4[[#This Row],[Income Rank]]</f>
        <v>74</v>
      </c>
    </row>
    <row r="23" spans="1:9">
      <c r="A23" t="s">
        <v>0</v>
      </c>
      <c r="B23">
        <v>22</v>
      </c>
      <c r="C23" s="10">
        <v>0.28499999999999998</v>
      </c>
      <c r="D23">
        <v>1</v>
      </c>
      <c r="E23" s="11">
        <v>82023</v>
      </c>
      <c r="F23">
        <v>27</v>
      </c>
      <c r="G23" s="12">
        <v>25708</v>
      </c>
      <c r="H23">
        <v>48</v>
      </c>
      <c r="I23">
        <f>Table4[[#This Row],[% alone Rank]]+Table4[[#This Row],['# alone Rank]]+Table4[[#This Row],[Income Rank]]</f>
        <v>76</v>
      </c>
    </row>
    <row r="24" spans="1:9">
      <c r="A24" t="s">
        <v>29</v>
      </c>
      <c r="B24">
        <v>23</v>
      </c>
      <c r="C24" s="10">
        <v>0.17199999999999999</v>
      </c>
      <c r="D24">
        <v>30</v>
      </c>
      <c r="E24" s="11">
        <v>87180</v>
      </c>
      <c r="F24">
        <v>25</v>
      </c>
      <c r="G24" s="12">
        <v>35237</v>
      </c>
      <c r="H24">
        <v>21</v>
      </c>
      <c r="I24">
        <f>Table4[[#This Row],[% alone Rank]]+Table4[[#This Row],['# alone Rank]]+Table4[[#This Row],[Income Rank]]</f>
        <v>76</v>
      </c>
    </row>
    <row r="25" spans="1:9">
      <c r="A25" t="s">
        <v>23</v>
      </c>
      <c r="B25">
        <v>24</v>
      </c>
      <c r="C25" s="10">
        <v>0.18</v>
      </c>
      <c r="D25">
        <v>24</v>
      </c>
      <c r="E25" s="11">
        <v>63993</v>
      </c>
      <c r="F25">
        <v>38</v>
      </c>
      <c r="G25" s="12">
        <v>38346</v>
      </c>
      <c r="H25">
        <v>14</v>
      </c>
      <c r="I25">
        <f>Table4[[#This Row],[% alone Rank]]+Table4[[#This Row],['# alone Rank]]+Table4[[#This Row],[Income Rank]]</f>
        <v>76</v>
      </c>
    </row>
    <row r="26" spans="1:9">
      <c r="A26" t="s">
        <v>9</v>
      </c>
      <c r="B26">
        <v>25</v>
      </c>
      <c r="C26" s="10">
        <v>0.20699999999999999</v>
      </c>
      <c r="D26">
        <v>10</v>
      </c>
      <c r="E26" s="11">
        <v>97908</v>
      </c>
      <c r="F26">
        <v>21</v>
      </c>
      <c r="G26" s="12">
        <v>27396</v>
      </c>
      <c r="H26">
        <v>46</v>
      </c>
      <c r="I26">
        <f>Table4[[#This Row],[% alone Rank]]+Table4[[#This Row],['# alone Rank]]+Table4[[#This Row],[Income Rank]]</f>
        <v>77</v>
      </c>
    </row>
    <row r="27" spans="1:9">
      <c r="A27" t="s">
        <v>30</v>
      </c>
      <c r="B27">
        <v>26</v>
      </c>
      <c r="C27" s="10">
        <v>0.17</v>
      </c>
      <c r="D27">
        <v>31</v>
      </c>
      <c r="E27" s="11">
        <v>57880</v>
      </c>
      <c r="F27">
        <v>42</v>
      </c>
      <c r="G27" s="12">
        <v>47378</v>
      </c>
      <c r="H27">
        <v>4</v>
      </c>
      <c r="I27">
        <f>Table4[[#This Row],[% alone Rank]]+Table4[[#This Row],['# alone Rank]]+Table4[[#This Row],[Income Rank]]</f>
        <v>77</v>
      </c>
    </row>
    <row r="28" spans="1:9">
      <c r="A28" t="s">
        <v>42</v>
      </c>
      <c r="B28">
        <v>27</v>
      </c>
      <c r="C28" s="10">
        <v>0.13600000000000001</v>
      </c>
      <c r="D28">
        <v>43</v>
      </c>
      <c r="E28" s="11">
        <v>421527</v>
      </c>
      <c r="F28">
        <v>2</v>
      </c>
      <c r="G28" s="12">
        <v>31951</v>
      </c>
      <c r="H28">
        <v>34</v>
      </c>
      <c r="I28">
        <f>Table4[[#This Row],[% alone Rank]]+Table4[[#This Row],['# alone Rank]]+Table4[[#This Row],[Income Rank]]</f>
        <v>79</v>
      </c>
    </row>
    <row r="29" spans="1:9">
      <c r="A29" t="s">
        <v>37</v>
      </c>
      <c r="B29">
        <v>28</v>
      </c>
      <c r="C29" s="10">
        <v>0.153</v>
      </c>
      <c r="D29">
        <v>38</v>
      </c>
      <c r="E29" s="11">
        <v>262003</v>
      </c>
      <c r="F29">
        <v>4</v>
      </c>
      <c r="G29" s="12">
        <v>31613</v>
      </c>
      <c r="H29">
        <v>38</v>
      </c>
      <c r="I29">
        <f>Table4[[#This Row],[% alone Rank]]+Table4[[#This Row],['# alone Rank]]+Table4[[#This Row],[Income Rank]]</f>
        <v>80</v>
      </c>
    </row>
    <row r="30" spans="1:9">
      <c r="A30" t="s">
        <v>43</v>
      </c>
      <c r="B30">
        <v>29</v>
      </c>
      <c r="C30" s="10">
        <v>0.13200000000000001</v>
      </c>
      <c r="D30">
        <v>44</v>
      </c>
      <c r="E30" s="11">
        <v>160472</v>
      </c>
      <c r="F30">
        <v>8</v>
      </c>
      <c r="G30" s="12">
        <v>32310</v>
      </c>
      <c r="H30">
        <v>30</v>
      </c>
      <c r="I30">
        <f>Table4[[#This Row],[% alone Rank]]+Table4[[#This Row],['# alone Rank]]+Table4[[#This Row],[Income Rank]]</f>
        <v>82</v>
      </c>
    </row>
    <row r="31" spans="1:9">
      <c r="A31" t="s">
        <v>12</v>
      </c>
      <c r="B31">
        <v>30</v>
      </c>
      <c r="C31" s="10">
        <v>0.19600000000000001</v>
      </c>
      <c r="D31">
        <v>13</v>
      </c>
      <c r="E31" s="11">
        <v>83107</v>
      </c>
      <c r="F31">
        <v>26</v>
      </c>
      <c r="G31" s="12">
        <v>29274</v>
      </c>
      <c r="H31">
        <v>44</v>
      </c>
      <c r="I31">
        <f>Table4[[#This Row],[% alone Rank]]+Table4[[#This Row],['# alone Rank]]+Table4[[#This Row],[Income Rank]]</f>
        <v>83</v>
      </c>
    </row>
    <row r="32" spans="1:9">
      <c r="A32" t="s">
        <v>35</v>
      </c>
      <c r="B32">
        <v>31</v>
      </c>
      <c r="C32" s="10">
        <v>0.16</v>
      </c>
      <c r="D32">
        <v>36</v>
      </c>
      <c r="E32" s="11">
        <v>107791</v>
      </c>
      <c r="F32">
        <v>19</v>
      </c>
      <c r="G32" s="12">
        <v>32016</v>
      </c>
      <c r="H32">
        <v>33</v>
      </c>
      <c r="I32">
        <f>Table4[[#This Row],[% alone Rank]]+Table4[[#This Row],['# alone Rank]]+Table4[[#This Row],[Income Rank]]</f>
        <v>88</v>
      </c>
    </row>
    <row r="33" spans="1:9">
      <c r="A33" t="s">
        <v>20</v>
      </c>
      <c r="B33">
        <v>32</v>
      </c>
      <c r="C33" s="10">
        <v>0.183</v>
      </c>
      <c r="D33">
        <v>21</v>
      </c>
      <c r="E33" s="11">
        <v>53641</v>
      </c>
      <c r="F33">
        <v>45</v>
      </c>
      <c r="G33" s="12">
        <v>34435</v>
      </c>
      <c r="H33">
        <v>22</v>
      </c>
      <c r="I33">
        <f>Table4[[#This Row],[% alone Rank]]+Table4[[#This Row],['# alone Rank]]+Table4[[#This Row],[Income Rank]]</f>
        <v>88</v>
      </c>
    </row>
    <row r="34" spans="1:9">
      <c r="A34" t="s">
        <v>18</v>
      </c>
      <c r="B34">
        <v>33</v>
      </c>
      <c r="C34" s="10">
        <v>0.186</v>
      </c>
      <c r="D34">
        <v>19</v>
      </c>
      <c r="E34" s="11">
        <v>80766</v>
      </c>
      <c r="F34">
        <v>29</v>
      </c>
      <c r="G34" s="12">
        <v>30864</v>
      </c>
      <c r="H34">
        <v>41</v>
      </c>
      <c r="I34">
        <f>Table4[[#This Row],[% alone Rank]]+Table4[[#This Row],['# alone Rank]]+Table4[[#This Row],[Income Rank]]</f>
        <v>89</v>
      </c>
    </row>
    <row r="35" spans="1:9">
      <c r="A35" t="s">
        <v>25</v>
      </c>
      <c r="B35">
        <v>34</v>
      </c>
      <c r="C35" s="10">
        <v>0.17899999999999999</v>
      </c>
      <c r="D35">
        <v>26</v>
      </c>
      <c r="E35" s="11">
        <v>61333</v>
      </c>
      <c r="F35">
        <v>40</v>
      </c>
      <c r="G35" s="12">
        <v>34045</v>
      </c>
      <c r="H35">
        <v>24</v>
      </c>
      <c r="I35">
        <f>Table4[[#This Row],[% alone Rank]]+Table4[[#This Row],['# alone Rank]]+Table4[[#This Row],[Income Rank]]</f>
        <v>90</v>
      </c>
    </row>
    <row r="36" spans="1:9">
      <c r="A36" t="s">
        <v>27</v>
      </c>
      <c r="B36">
        <v>35</v>
      </c>
      <c r="C36" s="10">
        <v>0.17499999999999999</v>
      </c>
      <c r="D36">
        <v>28</v>
      </c>
      <c r="E36" s="11">
        <v>81320</v>
      </c>
      <c r="F36">
        <v>28</v>
      </c>
      <c r="G36" s="12">
        <v>31848</v>
      </c>
      <c r="H36">
        <v>37</v>
      </c>
      <c r="I36">
        <f>Table4[[#This Row],[% alone Rank]]+Table4[[#This Row],['# alone Rank]]+Table4[[#This Row],[Income Rank]]</f>
        <v>93</v>
      </c>
    </row>
    <row r="37" spans="1:9">
      <c r="A37" t="s">
        <v>40</v>
      </c>
      <c r="B37">
        <v>36</v>
      </c>
      <c r="C37" s="10">
        <v>0.14599999999999999</v>
      </c>
      <c r="D37">
        <v>41</v>
      </c>
      <c r="E37" s="11">
        <v>164517</v>
      </c>
      <c r="F37">
        <v>7</v>
      </c>
      <c r="G37" s="12">
        <v>28793</v>
      </c>
      <c r="H37">
        <v>45</v>
      </c>
      <c r="I37">
        <f>Table4[[#This Row],[% alone Rank]]+Table4[[#This Row],['# alone Rank]]+Table4[[#This Row],[Income Rank]]</f>
        <v>93</v>
      </c>
    </row>
    <row r="38" spans="1:9">
      <c r="A38" t="s">
        <v>34</v>
      </c>
      <c r="B38">
        <v>37</v>
      </c>
      <c r="C38" s="10">
        <v>0.16200000000000001</v>
      </c>
      <c r="D38">
        <v>35</v>
      </c>
      <c r="E38" s="11">
        <v>58495</v>
      </c>
      <c r="F38">
        <v>41</v>
      </c>
      <c r="G38" s="12">
        <v>35476</v>
      </c>
      <c r="H38">
        <v>20</v>
      </c>
      <c r="I38">
        <f>Table4[[#This Row],[% alone Rank]]+Table4[[#This Row],['# alone Rank]]+Table4[[#This Row],[Income Rank]]</f>
        <v>96</v>
      </c>
    </row>
    <row r="39" spans="1:9">
      <c r="A39" t="s">
        <v>32</v>
      </c>
      <c r="B39">
        <v>38</v>
      </c>
      <c r="C39" s="10">
        <v>0.16800000000000001</v>
      </c>
      <c r="D39">
        <v>33</v>
      </c>
      <c r="E39" s="11">
        <v>78998</v>
      </c>
      <c r="F39">
        <v>30</v>
      </c>
      <c r="G39" s="12">
        <v>31862</v>
      </c>
      <c r="H39">
        <v>36</v>
      </c>
      <c r="I39">
        <f>Table4[[#This Row],[% alone Rank]]+Table4[[#This Row],['# alone Rank]]+Table4[[#This Row],[Income Rank]]</f>
        <v>99</v>
      </c>
    </row>
    <row r="40" spans="1:9">
      <c r="A40" t="s">
        <v>39</v>
      </c>
      <c r="B40">
        <v>39</v>
      </c>
      <c r="C40" s="10">
        <v>0.14699999999999999</v>
      </c>
      <c r="D40">
        <v>40</v>
      </c>
      <c r="E40" s="11">
        <v>55884</v>
      </c>
      <c r="F40">
        <v>44</v>
      </c>
      <c r="G40" s="12">
        <v>37343</v>
      </c>
      <c r="H40">
        <v>15</v>
      </c>
      <c r="I40">
        <f>Table4[[#This Row],[% alone Rank]]+Table4[[#This Row],['# alone Rank]]+Table4[[#This Row],[Income Rank]]</f>
        <v>99</v>
      </c>
    </row>
    <row r="41" spans="1:9">
      <c r="A41" t="s">
        <v>16</v>
      </c>
      <c r="B41">
        <v>40</v>
      </c>
      <c r="C41" s="10">
        <v>0.191</v>
      </c>
      <c r="D41">
        <v>17</v>
      </c>
      <c r="E41" s="11">
        <v>56770</v>
      </c>
      <c r="F41">
        <v>43</v>
      </c>
      <c r="G41" s="12">
        <v>30675</v>
      </c>
      <c r="H41">
        <v>42</v>
      </c>
      <c r="I41">
        <f>Table4[[#This Row],[% alone Rank]]+Table4[[#This Row],['# alone Rank]]+Table4[[#This Row],[Income Rank]]</f>
        <v>102</v>
      </c>
    </row>
    <row r="42" spans="1:9">
      <c r="A42" t="s">
        <v>21</v>
      </c>
      <c r="B42">
        <v>41</v>
      </c>
      <c r="C42" s="10">
        <v>0.182</v>
      </c>
      <c r="D42">
        <v>22</v>
      </c>
      <c r="E42" s="11">
        <v>73572</v>
      </c>
      <c r="F42">
        <v>34</v>
      </c>
      <c r="G42" s="12">
        <v>26128</v>
      </c>
      <c r="H42">
        <v>47</v>
      </c>
      <c r="I42">
        <f>Table4[[#This Row],[% alone Rank]]+Table4[[#This Row],['# alone Rank]]+Table4[[#This Row],[Income Rank]]</f>
        <v>103</v>
      </c>
    </row>
    <row r="43" spans="1:9">
      <c r="A43" t="s">
        <v>44</v>
      </c>
      <c r="B43">
        <v>42</v>
      </c>
      <c r="C43" s="10">
        <v>0.129</v>
      </c>
      <c r="D43">
        <v>45</v>
      </c>
      <c r="E43" s="11">
        <v>43898</v>
      </c>
      <c r="F43">
        <v>49</v>
      </c>
      <c r="G43" s="12">
        <v>39690</v>
      </c>
      <c r="H43">
        <v>11</v>
      </c>
      <c r="I43">
        <f>Table4[[#This Row],[% alone Rank]]+Table4[[#This Row],['# alone Rank]]+Table4[[#This Row],[Income Rank]]</f>
        <v>105</v>
      </c>
    </row>
    <row r="44" spans="1:9">
      <c r="A44" t="s">
        <v>41</v>
      </c>
      <c r="B44">
        <v>43</v>
      </c>
      <c r="C44" s="10">
        <v>0.14599999999999999</v>
      </c>
      <c r="D44">
        <v>42</v>
      </c>
      <c r="E44" s="11">
        <v>70816</v>
      </c>
      <c r="F44">
        <v>35</v>
      </c>
      <c r="G44" s="12">
        <v>32474</v>
      </c>
      <c r="H44">
        <v>29</v>
      </c>
      <c r="I44">
        <f>Table4[[#This Row],[% alone Rank]]+Table4[[#This Row],['# alone Rank]]+Table4[[#This Row],[Income Rank]]</f>
        <v>106</v>
      </c>
    </row>
    <row r="45" spans="1:9">
      <c r="A45" t="s">
        <v>48</v>
      </c>
      <c r="B45">
        <v>44</v>
      </c>
      <c r="C45" s="10">
        <v>0.123</v>
      </c>
      <c r="D45">
        <v>49</v>
      </c>
      <c r="E45" s="11">
        <v>78542</v>
      </c>
      <c r="F45">
        <v>31</v>
      </c>
      <c r="G45" s="12">
        <v>32911</v>
      </c>
      <c r="H45">
        <v>27</v>
      </c>
      <c r="I45">
        <f>Table4[[#This Row],[% alone Rank]]+Table4[[#This Row],['# alone Rank]]+Table4[[#This Row],[Income Rank]]</f>
        <v>107</v>
      </c>
    </row>
    <row r="46" spans="1:9">
      <c r="A46" t="s">
        <v>26</v>
      </c>
      <c r="B46">
        <v>45</v>
      </c>
      <c r="C46" s="10">
        <v>0.17599999999999999</v>
      </c>
      <c r="D46">
        <v>27</v>
      </c>
      <c r="E46" s="11">
        <v>66522</v>
      </c>
      <c r="F46">
        <v>37</v>
      </c>
      <c r="G46" s="12">
        <v>29567</v>
      </c>
      <c r="H46">
        <v>43</v>
      </c>
      <c r="I46">
        <f>Table4[[#This Row],[% alone Rank]]+Table4[[#This Row],['# alone Rank]]+Table4[[#This Row],[Income Rank]]</f>
        <v>107</v>
      </c>
    </row>
    <row r="47" spans="1:9">
      <c r="A47" t="s">
        <v>38</v>
      </c>
      <c r="B47">
        <v>46</v>
      </c>
      <c r="C47" s="10">
        <v>0.14799999999999999</v>
      </c>
      <c r="D47">
        <v>39</v>
      </c>
      <c r="E47" s="11">
        <v>52395</v>
      </c>
      <c r="F47">
        <v>46</v>
      </c>
      <c r="G47" s="12">
        <v>33260</v>
      </c>
      <c r="H47">
        <v>26</v>
      </c>
      <c r="I47">
        <f>Table4[[#This Row],[% alone Rank]]+Table4[[#This Row],['# alone Rank]]+Table4[[#This Row],[Income Rank]]</f>
        <v>111</v>
      </c>
    </row>
    <row r="48" spans="1:9">
      <c r="A48" t="s">
        <v>24</v>
      </c>
      <c r="B48">
        <v>47</v>
      </c>
      <c r="C48" s="10">
        <v>0.18</v>
      </c>
      <c r="D48">
        <v>25</v>
      </c>
      <c r="E48" s="11">
        <v>51478</v>
      </c>
      <c r="F48">
        <v>47</v>
      </c>
      <c r="G48" s="12">
        <v>30972</v>
      </c>
      <c r="H48">
        <v>40</v>
      </c>
      <c r="I48">
        <f>Table4[[#This Row],[% alone Rank]]+Table4[[#This Row],['# alone Rank]]+Table4[[#This Row],[Income Rank]]</f>
        <v>112</v>
      </c>
    </row>
    <row r="49" spans="1:9">
      <c r="A49" t="s">
        <v>45</v>
      </c>
      <c r="B49">
        <v>48</v>
      </c>
      <c r="C49" s="10">
        <v>0.128</v>
      </c>
      <c r="D49">
        <v>46</v>
      </c>
      <c r="E49" s="11">
        <v>36263</v>
      </c>
      <c r="F49">
        <v>50</v>
      </c>
      <c r="G49" s="12">
        <v>33857</v>
      </c>
      <c r="H49">
        <v>25</v>
      </c>
      <c r="I49">
        <f>Table4[[#This Row],[% alone Rank]]+Table4[[#This Row],['# alone Rank]]+Table4[[#This Row],[Income Rank]]</f>
        <v>121</v>
      </c>
    </row>
    <row r="50" spans="1:9">
      <c r="A50" t="s">
        <v>49</v>
      </c>
      <c r="B50">
        <v>49</v>
      </c>
      <c r="C50" s="10">
        <v>0.123</v>
      </c>
      <c r="D50">
        <v>50</v>
      </c>
      <c r="E50" s="11">
        <v>46903</v>
      </c>
      <c r="F50">
        <v>48</v>
      </c>
      <c r="G50" s="12">
        <v>31882</v>
      </c>
      <c r="H50">
        <v>35</v>
      </c>
      <c r="I50">
        <f>Table4[[#This Row],[% alone Rank]]+Table4[[#This Row],['# alone Rank]]+Table4[[#This Row],[Income Rank]]</f>
        <v>133</v>
      </c>
    </row>
    <row r="51" spans="1:9">
      <c r="A51" t="s">
        <v>46</v>
      </c>
      <c r="B51">
        <v>50</v>
      </c>
      <c r="C51" s="10">
        <v>0.126</v>
      </c>
      <c r="D51">
        <v>47</v>
      </c>
      <c r="E51" s="11">
        <v>62597</v>
      </c>
      <c r="F51">
        <v>39</v>
      </c>
      <c r="G51" s="12">
        <v>24989</v>
      </c>
      <c r="H51">
        <v>50</v>
      </c>
      <c r="I51">
        <f>Table4[[#This Row],[% alone Rank]]+Table4[[#This Row],['# alone Rank]]+Table4[[#This Row],[Income Rank]]</f>
        <v>136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A093-227C-4ECE-9CCF-B3AF97EDE8EA}">
  <dimension ref="A1:E51"/>
  <sheetViews>
    <sheetView workbookViewId="0">
      <selection activeCell="E1" sqref="E1:E51"/>
    </sheetView>
  </sheetViews>
  <sheetFormatPr defaultRowHeight="14.5"/>
  <cols>
    <col min="3" max="3" width="18.6328125" customWidth="1"/>
    <col min="4" max="4" width="16.90625" customWidth="1"/>
    <col min="5" max="5" width="16.08984375" customWidth="1"/>
  </cols>
  <sheetData>
    <row r="1" spans="1:5" ht="29">
      <c r="A1" s="9" t="s">
        <v>56</v>
      </c>
      <c r="B1" s="9" t="s">
        <v>50</v>
      </c>
      <c r="C1" s="9" t="s">
        <v>51</v>
      </c>
      <c r="D1" s="9" t="s">
        <v>52</v>
      </c>
      <c r="E1" s="9" t="s">
        <v>53</v>
      </c>
    </row>
    <row r="2" spans="1:5" ht="16">
      <c r="A2" s="1">
        <v>19</v>
      </c>
      <c r="B2" s="1" t="s">
        <v>18</v>
      </c>
      <c r="C2" s="2">
        <v>0.186</v>
      </c>
      <c r="D2" s="3">
        <v>80766</v>
      </c>
      <c r="E2" s="4">
        <v>30864</v>
      </c>
    </row>
    <row r="3" spans="1:5">
      <c r="A3" s="5">
        <v>2</v>
      </c>
      <c r="B3" s="5" t="s">
        <v>1</v>
      </c>
      <c r="C3" s="6">
        <v>0.26500000000000001</v>
      </c>
      <c r="D3" s="7">
        <v>97906</v>
      </c>
      <c r="E3" s="8">
        <v>43813</v>
      </c>
    </row>
    <row r="4" spans="1:5">
      <c r="A4" s="5">
        <v>46</v>
      </c>
      <c r="B4" s="5" t="s">
        <v>45</v>
      </c>
      <c r="C4" s="6">
        <v>0.128</v>
      </c>
      <c r="D4" s="7">
        <v>36263</v>
      </c>
      <c r="E4" s="8">
        <v>33857</v>
      </c>
    </row>
    <row r="5" spans="1:5">
      <c r="A5" s="1">
        <v>29</v>
      </c>
      <c r="B5" s="1" t="s">
        <v>28</v>
      </c>
      <c r="C5" s="2">
        <v>0.17199999999999999</v>
      </c>
      <c r="D5" s="3">
        <v>129873</v>
      </c>
      <c r="E5" s="4">
        <v>41653</v>
      </c>
    </row>
    <row r="6" spans="1:5">
      <c r="A6" s="5">
        <v>8</v>
      </c>
      <c r="B6" s="5" t="s">
        <v>7</v>
      </c>
      <c r="C6" s="6">
        <v>0.21</v>
      </c>
      <c r="D6" s="7">
        <v>95673</v>
      </c>
      <c r="E6" s="8">
        <v>36970</v>
      </c>
    </row>
    <row r="7" spans="1:5">
      <c r="A7" s="5">
        <v>20</v>
      </c>
      <c r="B7" s="5" t="s">
        <v>19</v>
      </c>
      <c r="C7" s="6">
        <v>0.183</v>
      </c>
      <c r="D7" s="7">
        <v>98649</v>
      </c>
      <c r="E7" s="8">
        <v>41125</v>
      </c>
    </row>
    <row r="8" spans="1:5">
      <c r="A8" s="5">
        <v>34</v>
      </c>
      <c r="B8" s="5" t="s">
        <v>33</v>
      </c>
      <c r="C8" s="6">
        <v>0.16400000000000001</v>
      </c>
      <c r="D8" s="7">
        <v>108242</v>
      </c>
      <c r="E8" s="8">
        <v>36340</v>
      </c>
    </row>
    <row r="9" spans="1:5">
      <c r="A9" s="5">
        <v>16</v>
      </c>
      <c r="B9" s="5" t="s">
        <v>15</v>
      </c>
      <c r="C9" s="6">
        <v>0.192</v>
      </c>
      <c r="D9" s="7">
        <v>402513</v>
      </c>
      <c r="E9" s="8">
        <v>38778</v>
      </c>
    </row>
    <row r="10" spans="1:5">
      <c r="A10" s="1">
        <v>1</v>
      </c>
      <c r="B10" s="1" t="s">
        <v>0</v>
      </c>
      <c r="C10" s="2">
        <v>0.28499999999999998</v>
      </c>
      <c r="D10" s="3">
        <v>82023</v>
      </c>
      <c r="E10" s="4">
        <v>25708</v>
      </c>
    </row>
    <row r="11" spans="1:5" ht="16">
      <c r="A11" s="1">
        <v>39</v>
      </c>
      <c r="B11" s="1" t="s">
        <v>38</v>
      </c>
      <c r="C11" s="2">
        <v>0.14799999999999999</v>
      </c>
      <c r="D11" s="3">
        <v>52395</v>
      </c>
      <c r="E11" s="4">
        <v>33260</v>
      </c>
    </row>
    <row r="12" spans="1:5">
      <c r="A12" s="1">
        <v>15</v>
      </c>
      <c r="B12" s="1" t="s">
        <v>14</v>
      </c>
      <c r="C12" s="2">
        <v>0.193</v>
      </c>
      <c r="D12" s="3">
        <v>130034</v>
      </c>
      <c r="E12" s="4">
        <v>32262</v>
      </c>
    </row>
    <row r="13" spans="1:5">
      <c r="A13" s="5">
        <v>18</v>
      </c>
      <c r="B13" s="5" t="s">
        <v>17</v>
      </c>
      <c r="C13" s="6">
        <v>0.19</v>
      </c>
      <c r="D13" s="7">
        <v>189642</v>
      </c>
      <c r="E13" s="8">
        <v>34421</v>
      </c>
    </row>
    <row r="14" spans="1:5">
      <c r="A14" s="5">
        <v>6</v>
      </c>
      <c r="B14" s="5" t="s">
        <v>5</v>
      </c>
      <c r="C14" s="6">
        <v>0.22</v>
      </c>
      <c r="D14" s="7">
        <v>123572</v>
      </c>
      <c r="E14" s="8">
        <v>42409</v>
      </c>
    </row>
    <row r="15" spans="1:5">
      <c r="A15" s="1">
        <v>5</v>
      </c>
      <c r="B15" s="1" t="s">
        <v>4</v>
      </c>
      <c r="C15" s="2">
        <v>0.22500000000000001</v>
      </c>
      <c r="D15" s="3">
        <v>111468</v>
      </c>
      <c r="E15" s="4">
        <v>25389</v>
      </c>
    </row>
    <row r="16" spans="1:5">
      <c r="A16" s="1">
        <v>47</v>
      </c>
      <c r="B16" s="1" t="s">
        <v>46</v>
      </c>
      <c r="C16" s="2">
        <v>0.126</v>
      </c>
      <c r="D16" s="3">
        <v>62597</v>
      </c>
      <c r="E16" s="4">
        <v>24989</v>
      </c>
    </row>
    <row r="17" spans="1:5">
      <c r="A17" s="1">
        <v>49</v>
      </c>
      <c r="B17" s="1" t="s">
        <v>48</v>
      </c>
      <c r="C17" s="2">
        <v>0.123</v>
      </c>
      <c r="D17" s="3">
        <v>78542</v>
      </c>
      <c r="E17" s="4">
        <v>32911</v>
      </c>
    </row>
    <row r="18" spans="1:5">
      <c r="A18" s="5">
        <v>38</v>
      </c>
      <c r="B18" s="5" t="s">
        <v>37</v>
      </c>
      <c r="C18" s="6">
        <v>0.153</v>
      </c>
      <c r="D18" s="7">
        <v>262003</v>
      </c>
      <c r="E18" s="8">
        <v>31613</v>
      </c>
    </row>
    <row r="19" spans="1:5">
      <c r="A19" s="5">
        <v>12</v>
      </c>
      <c r="B19" s="5" t="s">
        <v>11</v>
      </c>
      <c r="C19" s="6">
        <v>0.19900000000000001</v>
      </c>
      <c r="D19" s="7">
        <v>127110</v>
      </c>
      <c r="E19" s="8">
        <v>32122</v>
      </c>
    </row>
    <row r="20" spans="1:5">
      <c r="A20" s="5">
        <v>36</v>
      </c>
      <c r="B20" s="5" t="s">
        <v>35</v>
      </c>
      <c r="C20" s="6">
        <v>0.16</v>
      </c>
      <c r="D20" s="7">
        <v>107791</v>
      </c>
      <c r="E20" s="8">
        <v>32016</v>
      </c>
    </row>
    <row r="21" spans="1:5" ht="16">
      <c r="A21" s="1">
        <v>11</v>
      </c>
      <c r="B21" s="1" t="s">
        <v>10</v>
      </c>
      <c r="C21" s="2">
        <v>0.20599999999999999</v>
      </c>
      <c r="D21" s="3">
        <v>76281</v>
      </c>
      <c r="E21" s="4">
        <v>36195</v>
      </c>
    </row>
    <row r="22" spans="1:5">
      <c r="A22" s="5">
        <v>42</v>
      </c>
      <c r="B22" s="5" t="s">
        <v>41</v>
      </c>
      <c r="C22" s="6">
        <v>0.14599999999999999</v>
      </c>
      <c r="D22" s="7">
        <v>70816</v>
      </c>
      <c r="E22" s="8">
        <v>32474</v>
      </c>
    </row>
    <row r="23" spans="1:5">
      <c r="A23" s="1">
        <v>35</v>
      </c>
      <c r="B23" s="1" t="s">
        <v>34</v>
      </c>
      <c r="C23" s="2">
        <v>0.16200000000000001</v>
      </c>
      <c r="D23" s="3">
        <v>58495</v>
      </c>
      <c r="E23" s="4">
        <v>35476</v>
      </c>
    </row>
    <row r="24" spans="1:5" ht="16">
      <c r="A24" s="1">
        <v>43</v>
      </c>
      <c r="B24" s="1" t="s">
        <v>42</v>
      </c>
      <c r="C24" s="2">
        <v>0.13600000000000001</v>
      </c>
      <c r="D24" s="3">
        <v>421527</v>
      </c>
      <c r="E24" s="4">
        <v>31951</v>
      </c>
    </row>
    <row r="25" spans="1:5">
      <c r="A25" s="5">
        <v>28</v>
      </c>
      <c r="B25" s="5" t="s">
        <v>27</v>
      </c>
      <c r="C25" s="6">
        <v>0.17499999999999999</v>
      </c>
      <c r="D25" s="7">
        <v>81320</v>
      </c>
      <c r="E25" s="8">
        <v>31848</v>
      </c>
    </row>
    <row r="26" spans="1:5">
      <c r="A26" s="5">
        <v>10</v>
      </c>
      <c r="B26" s="5" t="s">
        <v>9</v>
      </c>
      <c r="C26" s="6">
        <v>0.20699999999999999</v>
      </c>
      <c r="D26" s="7">
        <v>97908</v>
      </c>
      <c r="E26" s="8">
        <v>27396</v>
      </c>
    </row>
    <row r="27" spans="1:5">
      <c r="A27" s="5">
        <v>50</v>
      </c>
      <c r="B27" s="5" t="s">
        <v>49</v>
      </c>
      <c r="C27" s="6">
        <v>0.123</v>
      </c>
      <c r="D27" s="7">
        <v>46903</v>
      </c>
      <c r="E27" s="8">
        <v>31882</v>
      </c>
    </row>
    <row r="28" spans="1:5">
      <c r="A28" s="1">
        <v>27</v>
      </c>
      <c r="B28" s="1" t="s">
        <v>26</v>
      </c>
      <c r="C28" s="2">
        <v>0.17599999999999999</v>
      </c>
      <c r="D28" s="3">
        <v>66522</v>
      </c>
      <c r="E28" s="4">
        <v>29567</v>
      </c>
    </row>
    <row r="29" spans="1:5">
      <c r="A29" s="1">
        <v>13</v>
      </c>
      <c r="B29" s="1" t="s">
        <v>12</v>
      </c>
      <c r="C29" s="2">
        <v>0.19600000000000001</v>
      </c>
      <c r="D29" s="3">
        <v>83107</v>
      </c>
      <c r="E29" s="4">
        <v>29274</v>
      </c>
    </row>
    <row r="30" spans="1:5" ht="16">
      <c r="A30" s="1">
        <v>9</v>
      </c>
      <c r="B30" s="1" t="s">
        <v>8</v>
      </c>
      <c r="C30" s="2">
        <v>0.21</v>
      </c>
      <c r="D30" s="3">
        <v>67978</v>
      </c>
      <c r="E30" s="4">
        <v>36784</v>
      </c>
    </row>
    <row r="31" spans="1:5">
      <c r="A31" s="5">
        <v>30</v>
      </c>
      <c r="B31" s="5" t="s">
        <v>29</v>
      </c>
      <c r="C31" s="6">
        <v>0.17199999999999999</v>
      </c>
      <c r="D31" s="7">
        <v>87180</v>
      </c>
      <c r="E31" s="8">
        <v>35237</v>
      </c>
    </row>
    <row r="32" spans="1:5" ht="16">
      <c r="A32" s="1">
        <v>3</v>
      </c>
      <c r="B32" s="1" t="s">
        <v>2</v>
      </c>
      <c r="C32" s="2">
        <v>0.25900000000000001</v>
      </c>
      <c r="D32" s="3">
        <v>76589</v>
      </c>
      <c r="E32" s="4">
        <v>31346</v>
      </c>
    </row>
    <row r="33" spans="1:5">
      <c r="A33" s="1">
        <v>37</v>
      </c>
      <c r="B33" s="1" t="s">
        <v>36</v>
      </c>
      <c r="C33" s="2">
        <v>0.158</v>
      </c>
      <c r="D33" s="3">
        <v>1024288</v>
      </c>
      <c r="E33" s="4">
        <v>40932</v>
      </c>
    </row>
    <row r="34" spans="1:5">
      <c r="A34" s="1">
        <v>31</v>
      </c>
      <c r="B34" s="1" t="s">
        <v>30</v>
      </c>
      <c r="C34" s="2">
        <v>0.17</v>
      </c>
      <c r="D34" s="3">
        <v>57880</v>
      </c>
      <c r="E34" s="4">
        <v>47378</v>
      </c>
    </row>
    <row r="35" spans="1:5" ht="16">
      <c r="A35" s="1">
        <v>33</v>
      </c>
      <c r="B35" s="1" t="s">
        <v>32</v>
      </c>
      <c r="C35" s="2">
        <v>0.16800000000000001</v>
      </c>
      <c r="D35" s="3">
        <v>78998</v>
      </c>
      <c r="E35" s="4">
        <v>31862</v>
      </c>
    </row>
    <row r="36" spans="1:5">
      <c r="A36" s="5">
        <v>26</v>
      </c>
      <c r="B36" s="5" t="s">
        <v>25</v>
      </c>
      <c r="C36" s="6">
        <v>0.17899999999999999</v>
      </c>
      <c r="D36" s="7">
        <v>61333</v>
      </c>
      <c r="E36" s="8">
        <v>34045</v>
      </c>
    </row>
    <row r="37" spans="1:5" ht="16">
      <c r="A37" s="5">
        <v>14</v>
      </c>
      <c r="B37" s="5" t="s">
        <v>13</v>
      </c>
      <c r="C37" s="6">
        <v>0.19500000000000001</v>
      </c>
      <c r="D37" s="7">
        <v>232565</v>
      </c>
      <c r="E37" s="8">
        <v>32550</v>
      </c>
    </row>
    <row r="38" spans="1:5">
      <c r="A38" s="5">
        <v>44</v>
      </c>
      <c r="B38" s="5" t="s">
        <v>43</v>
      </c>
      <c r="C38" s="6">
        <v>0.13200000000000001</v>
      </c>
      <c r="D38" s="7">
        <v>160472</v>
      </c>
      <c r="E38" s="8">
        <v>32310</v>
      </c>
    </row>
    <row r="39" spans="1:5">
      <c r="A39" s="1">
        <v>23</v>
      </c>
      <c r="B39" s="1" t="s">
        <v>22</v>
      </c>
      <c r="C39" s="2">
        <v>0.18099999999999999</v>
      </c>
      <c r="D39" s="3">
        <v>94382</v>
      </c>
      <c r="E39" s="4">
        <v>40331</v>
      </c>
    </row>
    <row r="40" spans="1:5">
      <c r="A40" s="5">
        <v>24</v>
      </c>
      <c r="B40" s="5" t="s">
        <v>23</v>
      </c>
      <c r="C40" s="6">
        <v>0.18</v>
      </c>
      <c r="D40" s="7">
        <v>63993</v>
      </c>
      <c r="E40" s="8">
        <v>38346</v>
      </c>
    </row>
    <row r="41" spans="1:5">
      <c r="A41" s="5">
        <v>40</v>
      </c>
      <c r="B41" s="5" t="s">
        <v>39</v>
      </c>
      <c r="C41" s="6">
        <v>0.14699999999999999</v>
      </c>
      <c r="D41" s="7">
        <v>55884</v>
      </c>
      <c r="E41" s="8">
        <v>37343</v>
      </c>
    </row>
    <row r="42" spans="1:5">
      <c r="A42" s="1">
        <v>41</v>
      </c>
      <c r="B42" s="1" t="s">
        <v>40</v>
      </c>
      <c r="C42" s="2">
        <v>0.14599999999999999</v>
      </c>
      <c r="D42" s="3">
        <v>164517</v>
      </c>
      <c r="E42" s="4">
        <v>28793</v>
      </c>
    </row>
    <row r="43" spans="1:5">
      <c r="A43" s="5">
        <v>48</v>
      </c>
      <c r="B43" s="5" t="s">
        <v>47</v>
      </c>
      <c r="C43" s="6">
        <v>0.125</v>
      </c>
      <c r="D43" s="7">
        <v>137559</v>
      </c>
      <c r="E43" s="8">
        <v>39500</v>
      </c>
    </row>
    <row r="44" spans="1:5" ht="16">
      <c r="A44" s="5">
        <v>32</v>
      </c>
      <c r="B44" s="5" t="s">
        <v>31</v>
      </c>
      <c r="C44" s="6">
        <v>0.16800000000000001</v>
      </c>
      <c r="D44" s="7">
        <v>125317</v>
      </c>
      <c r="E44" s="8">
        <v>65393</v>
      </c>
    </row>
    <row r="45" spans="1:5">
      <c r="A45" s="1">
        <v>7</v>
      </c>
      <c r="B45" s="1" t="s">
        <v>6</v>
      </c>
      <c r="C45" s="2">
        <v>0.21199999999999999</v>
      </c>
      <c r="D45" s="3">
        <v>129437</v>
      </c>
      <c r="E45" s="4">
        <v>52385</v>
      </c>
    </row>
    <row r="46" spans="1:5">
      <c r="A46" s="1">
        <v>21</v>
      </c>
      <c r="B46" s="1" t="s">
        <v>20</v>
      </c>
      <c r="C46" s="2">
        <v>0.183</v>
      </c>
      <c r="D46" s="3">
        <v>53641</v>
      </c>
      <c r="E46" s="4">
        <v>34435</v>
      </c>
    </row>
    <row r="47" spans="1:5">
      <c r="A47" s="5">
        <v>22</v>
      </c>
      <c r="B47" s="5" t="s">
        <v>21</v>
      </c>
      <c r="C47" s="6">
        <v>0.182</v>
      </c>
      <c r="D47" s="7">
        <v>73572</v>
      </c>
      <c r="E47" s="8">
        <v>26128</v>
      </c>
    </row>
    <row r="48" spans="1:5">
      <c r="A48" s="1">
        <v>17</v>
      </c>
      <c r="B48" s="1" t="s">
        <v>16</v>
      </c>
      <c r="C48" s="2">
        <v>0.191</v>
      </c>
      <c r="D48" s="3">
        <v>56770</v>
      </c>
      <c r="E48" s="4">
        <v>30675</v>
      </c>
    </row>
    <row r="49" spans="1:5" ht="16">
      <c r="A49" s="1">
        <v>45</v>
      </c>
      <c r="B49" s="1" t="s">
        <v>44</v>
      </c>
      <c r="C49" s="2">
        <v>0.129</v>
      </c>
      <c r="D49" s="3">
        <v>43898</v>
      </c>
      <c r="E49" s="4">
        <v>39690</v>
      </c>
    </row>
    <row r="50" spans="1:5" ht="16">
      <c r="A50" s="5">
        <v>4</v>
      </c>
      <c r="B50" s="5" t="s">
        <v>3</v>
      </c>
      <c r="C50" s="6">
        <v>0.24399999999999999</v>
      </c>
      <c r="D50" s="7">
        <v>131010</v>
      </c>
      <c r="E50" s="8">
        <v>57851</v>
      </c>
    </row>
    <row r="51" spans="1:5">
      <c r="A51" s="1">
        <v>25</v>
      </c>
      <c r="B51" s="1" t="s">
        <v>24</v>
      </c>
      <c r="C51" s="2">
        <v>0.18</v>
      </c>
      <c r="D51" s="3">
        <v>51478</v>
      </c>
      <c r="E51" s="4">
        <v>30972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F225-C248-4EED-80AF-C4852CECD898}">
  <dimension ref="A1:E51"/>
  <sheetViews>
    <sheetView topLeftCell="A30" workbookViewId="0">
      <selection sqref="A1:A51"/>
    </sheetView>
  </sheetViews>
  <sheetFormatPr defaultRowHeight="14.5"/>
  <cols>
    <col min="3" max="3" width="18.6328125" customWidth="1"/>
    <col min="4" max="4" width="16.90625" customWidth="1"/>
    <col min="5" max="5" width="16.08984375" customWidth="1"/>
  </cols>
  <sheetData>
    <row r="1" spans="1:5" ht="29">
      <c r="A1" s="9" t="s">
        <v>55</v>
      </c>
      <c r="B1" s="9" t="s">
        <v>50</v>
      </c>
      <c r="C1" s="9" t="s">
        <v>51</v>
      </c>
      <c r="D1" s="9" t="s">
        <v>52</v>
      </c>
      <c r="E1" s="9" t="s">
        <v>53</v>
      </c>
    </row>
    <row r="2" spans="1:5" ht="16">
      <c r="A2" s="1">
        <v>29</v>
      </c>
      <c r="B2" s="1" t="s">
        <v>18</v>
      </c>
      <c r="C2" s="2">
        <v>0.186</v>
      </c>
      <c r="D2" s="3">
        <v>80766</v>
      </c>
      <c r="E2" s="4">
        <v>30864</v>
      </c>
    </row>
    <row r="3" spans="1:5">
      <c r="A3" s="1">
        <v>22</v>
      </c>
      <c r="B3" s="5" t="s">
        <v>1</v>
      </c>
      <c r="C3" s="6">
        <v>0.26500000000000001</v>
      </c>
      <c r="D3" s="7">
        <v>97906</v>
      </c>
      <c r="E3" s="8">
        <v>43813</v>
      </c>
    </row>
    <row r="4" spans="1:5">
      <c r="A4" s="1">
        <v>50</v>
      </c>
      <c r="B4" s="5" t="s">
        <v>45</v>
      </c>
      <c r="C4" s="6">
        <v>0.128</v>
      </c>
      <c r="D4" s="7">
        <v>36263</v>
      </c>
      <c r="E4" s="8">
        <v>33857</v>
      </c>
    </row>
    <row r="5" spans="1:5">
      <c r="A5" s="1">
        <v>12</v>
      </c>
      <c r="B5" s="1" t="s">
        <v>28</v>
      </c>
      <c r="C5" s="2">
        <v>0.17199999999999999</v>
      </c>
      <c r="D5" s="3">
        <v>129873</v>
      </c>
      <c r="E5" s="4">
        <v>41653</v>
      </c>
    </row>
    <row r="6" spans="1:5">
      <c r="A6" s="1">
        <v>23</v>
      </c>
      <c r="B6" s="5" t="s">
        <v>7</v>
      </c>
      <c r="C6" s="6">
        <v>0.21</v>
      </c>
      <c r="D6" s="7">
        <v>95673</v>
      </c>
      <c r="E6" s="8">
        <v>36970</v>
      </c>
    </row>
    <row r="7" spans="1:5">
      <c r="A7" s="1">
        <v>20</v>
      </c>
      <c r="B7" s="5" t="s">
        <v>19</v>
      </c>
      <c r="C7" s="6">
        <v>0.183</v>
      </c>
      <c r="D7" s="7">
        <v>98649</v>
      </c>
      <c r="E7" s="8">
        <v>41125</v>
      </c>
    </row>
    <row r="8" spans="1:5">
      <c r="A8" s="1">
        <v>18</v>
      </c>
      <c r="B8" s="5" t="s">
        <v>33</v>
      </c>
      <c r="C8" s="6">
        <v>0.16400000000000001</v>
      </c>
      <c r="D8" s="7">
        <v>108242</v>
      </c>
      <c r="E8" s="8">
        <v>36340</v>
      </c>
    </row>
    <row r="9" spans="1:5">
      <c r="A9" s="1">
        <v>3</v>
      </c>
      <c r="B9" s="5" t="s">
        <v>15</v>
      </c>
      <c r="C9" s="6">
        <v>0.192</v>
      </c>
      <c r="D9" s="7">
        <v>402513</v>
      </c>
      <c r="E9" s="8">
        <v>38778</v>
      </c>
    </row>
    <row r="10" spans="1:5">
      <c r="A10" s="1">
        <v>27</v>
      </c>
      <c r="B10" s="1" t="s">
        <v>0</v>
      </c>
      <c r="C10" s="2">
        <v>0.28499999999999998</v>
      </c>
      <c r="D10" s="3">
        <v>82023</v>
      </c>
      <c r="E10" s="4">
        <v>25708</v>
      </c>
    </row>
    <row r="11" spans="1:5" ht="16">
      <c r="A11" s="1">
        <v>46</v>
      </c>
      <c r="B11" s="1" t="s">
        <v>38</v>
      </c>
      <c r="C11" s="2">
        <v>0.14799999999999999</v>
      </c>
      <c r="D11" s="3">
        <v>52395</v>
      </c>
      <c r="E11" s="4">
        <v>33260</v>
      </c>
    </row>
    <row r="12" spans="1:5">
      <c r="A12" s="1">
        <v>11</v>
      </c>
      <c r="B12" s="1" t="s">
        <v>14</v>
      </c>
      <c r="C12" s="2">
        <v>0.193</v>
      </c>
      <c r="D12" s="3">
        <v>130034</v>
      </c>
      <c r="E12" s="4">
        <v>32262</v>
      </c>
    </row>
    <row r="13" spans="1:5">
      <c r="A13" s="1">
        <v>6</v>
      </c>
      <c r="B13" s="5" t="s">
        <v>17</v>
      </c>
      <c r="C13" s="6">
        <v>0.19</v>
      </c>
      <c r="D13" s="7">
        <v>189642</v>
      </c>
      <c r="E13" s="8">
        <v>34421</v>
      </c>
    </row>
    <row r="14" spans="1:5">
      <c r="A14" s="1">
        <v>16</v>
      </c>
      <c r="B14" s="5" t="s">
        <v>5</v>
      </c>
      <c r="C14" s="6">
        <v>0.22</v>
      </c>
      <c r="D14" s="7">
        <v>123572</v>
      </c>
      <c r="E14" s="8">
        <v>42409</v>
      </c>
    </row>
    <row r="15" spans="1:5">
      <c r="A15" s="1">
        <v>17</v>
      </c>
      <c r="B15" s="1" t="s">
        <v>4</v>
      </c>
      <c r="C15" s="2">
        <v>0.22500000000000001</v>
      </c>
      <c r="D15" s="3">
        <v>111468</v>
      </c>
      <c r="E15" s="4">
        <v>25389</v>
      </c>
    </row>
    <row r="16" spans="1:5">
      <c r="A16" s="1">
        <v>39</v>
      </c>
      <c r="B16" s="1" t="s">
        <v>46</v>
      </c>
      <c r="C16" s="2">
        <v>0.126</v>
      </c>
      <c r="D16" s="3">
        <v>62597</v>
      </c>
      <c r="E16" s="4">
        <v>24989</v>
      </c>
    </row>
    <row r="17" spans="1:5">
      <c r="A17" s="1">
        <v>31</v>
      </c>
      <c r="B17" s="1" t="s">
        <v>48</v>
      </c>
      <c r="C17" s="2">
        <v>0.123</v>
      </c>
      <c r="D17" s="3">
        <v>78542</v>
      </c>
      <c r="E17" s="4">
        <v>32911</v>
      </c>
    </row>
    <row r="18" spans="1:5">
      <c r="A18" s="1">
        <v>4</v>
      </c>
      <c r="B18" s="5" t="s">
        <v>37</v>
      </c>
      <c r="C18" s="6">
        <v>0.153</v>
      </c>
      <c r="D18" s="7">
        <v>262003</v>
      </c>
      <c r="E18" s="8">
        <v>31613</v>
      </c>
    </row>
    <row r="19" spans="1:5">
      <c r="A19" s="1">
        <v>14</v>
      </c>
      <c r="B19" s="5" t="s">
        <v>11</v>
      </c>
      <c r="C19" s="6">
        <v>0.19900000000000001</v>
      </c>
      <c r="D19" s="7">
        <v>127110</v>
      </c>
      <c r="E19" s="8">
        <v>32122</v>
      </c>
    </row>
    <row r="20" spans="1:5">
      <c r="A20" s="1">
        <v>19</v>
      </c>
      <c r="B20" s="5" t="s">
        <v>35</v>
      </c>
      <c r="C20" s="6">
        <v>0.16</v>
      </c>
      <c r="D20" s="7">
        <v>107791</v>
      </c>
      <c r="E20" s="8">
        <v>32016</v>
      </c>
    </row>
    <row r="21" spans="1:5" ht="16">
      <c r="A21" s="1">
        <v>33</v>
      </c>
      <c r="B21" s="1" t="s">
        <v>10</v>
      </c>
      <c r="C21" s="2">
        <v>0.20599999999999999</v>
      </c>
      <c r="D21" s="3">
        <v>76281</v>
      </c>
      <c r="E21" s="4">
        <v>36195</v>
      </c>
    </row>
    <row r="22" spans="1:5">
      <c r="A22" s="1">
        <v>35</v>
      </c>
      <c r="B22" s="5" t="s">
        <v>41</v>
      </c>
      <c r="C22" s="6">
        <v>0.14599999999999999</v>
      </c>
      <c r="D22" s="7">
        <v>70816</v>
      </c>
      <c r="E22" s="8">
        <v>32474</v>
      </c>
    </row>
    <row r="23" spans="1:5">
      <c r="A23" s="1">
        <v>41</v>
      </c>
      <c r="B23" s="1" t="s">
        <v>34</v>
      </c>
      <c r="C23" s="2">
        <v>0.16200000000000001</v>
      </c>
      <c r="D23" s="3">
        <v>58495</v>
      </c>
      <c r="E23" s="4">
        <v>35476</v>
      </c>
    </row>
    <row r="24" spans="1:5" ht="16">
      <c r="A24" s="1">
        <v>2</v>
      </c>
      <c r="B24" s="1" t="s">
        <v>42</v>
      </c>
      <c r="C24" s="2">
        <v>0.13600000000000001</v>
      </c>
      <c r="D24" s="3">
        <v>421527</v>
      </c>
      <c r="E24" s="4">
        <v>31951</v>
      </c>
    </row>
    <row r="25" spans="1:5">
      <c r="A25" s="1">
        <v>28</v>
      </c>
      <c r="B25" s="5" t="s">
        <v>27</v>
      </c>
      <c r="C25" s="6">
        <v>0.17499999999999999</v>
      </c>
      <c r="D25" s="7">
        <v>81320</v>
      </c>
      <c r="E25" s="8">
        <v>31848</v>
      </c>
    </row>
    <row r="26" spans="1:5">
      <c r="A26" s="1">
        <v>21</v>
      </c>
      <c r="B26" s="5" t="s">
        <v>9</v>
      </c>
      <c r="C26" s="6">
        <v>0.20699999999999999</v>
      </c>
      <c r="D26" s="7">
        <v>97908</v>
      </c>
      <c r="E26" s="8">
        <v>27396</v>
      </c>
    </row>
    <row r="27" spans="1:5">
      <c r="A27" s="1">
        <v>48</v>
      </c>
      <c r="B27" s="5" t="s">
        <v>49</v>
      </c>
      <c r="C27" s="6">
        <v>0.123</v>
      </c>
      <c r="D27" s="7">
        <v>46903</v>
      </c>
      <c r="E27" s="8">
        <v>31882</v>
      </c>
    </row>
    <row r="28" spans="1:5">
      <c r="A28" s="1">
        <v>37</v>
      </c>
      <c r="B28" s="1" t="s">
        <v>26</v>
      </c>
      <c r="C28" s="2">
        <v>0.17599999999999999</v>
      </c>
      <c r="D28" s="3">
        <v>66522</v>
      </c>
      <c r="E28" s="4">
        <v>29567</v>
      </c>
    </row>
    <row r="29" spans="1:5">
      <c r="A29" s="1">
        <v>26</v>
      </c>
      <c r="B29" s="1" t="s">
        <v>12</v>
      </c>
      <c r="C29" s="2">
        <v>0.19600000000000001</v>
      </c>
      <c r="D29" s="3">
        <v>83107</v>
      </c>
      <c r="E29" s="4">
        <v>29274</v>
      </c>
    </row>
    <row r="30" spans="1:5" ht="16">
      <c r="A30" s="1">
        <v>36</v>
      </c>
      <c r="B30" s="1" t="s">
        <v>8</v>
      </c>
      <c r="C30" s="2">
        <v>0.21</v>
      </c>
      <c r="D30" s="3">
        <v>67978</v>
      </c>
      <c r="E30" s="4">
        <v>36784</v>
      </c>
    </row>
    <row r="31" spans="1:5">
      <c r="A31" s="1">
        <v>25</v>
      </c>
      <c r="B31" s="5" t="s">
        <v>29</v>
      </c>
      <c r="C31" s="6">
        <v>0.17199999999999999</v>
      </c>
      <c r="D31" s="7">
        <v>87180</v>
      </c>
      <c r="E31" s="8">
        <v>35237</v>
      </c>
    </row>
    <row r="32" spans="1:5" ht="16">
      <c r="A32" s="1">
        <v>32</v>
      </c>
      <c r="B32" s="1" t="s">
        <v>2</v>
      </c>
      <c r="C32" s="2">
        <v>0.25900000000000001</v>
      </c>
      <c r="D32" s="3">
        <v>76589</v>
      </c>
      <c r="E32" s="4">
        <v>31346</v>
      </c>
    </row>
    <row r="33" spans="1:5">
      <c r="A33" s="1">
        <v>1</v>
      </c>
      <c r="B33" s="1" t="s">
        <v>36</v>
      </c>
      <c r="C33" s="2">
        <v>0.158</v>
      </c>
      <c r="D33" s="3">
        <v>1024288</v>
      </c>
      <c r="E33" s="4">
        <v>40932</v>
      </c>
    </row>
    <row r="34" spans="1:5">
      <c r="A34" s="1">
        <v>42</v>
      </c>
      <c r="B34" s="1" t="s">
        <v>30</v>
      </c>
      <c r="C34" s="2">
        <v>0.17</v>
      </c>
      <c r="D34" s="3">
        <v>57880</v>
      </c>
      <c r="E34" s="4">
        <v>47378</v>
      </c>
    </row>
    <row r="35" spans="1:5" ht="16">
      <c r="A35" s="1">
        <v>30</v>
      </c>
      <c r="B35" s="1" t="s">
        <v>32</v>
      </c>
      <c r="C35" s="2">
        <v>0.16800000000000001</v>
      </c>
      <c r="D35" s="3">
        <v>78998</v>
      </c>
      <c r="E35" s="4">
        <v>31862</v>
      </c>
    </row>
    <row r="36" spans="1:5">
      <c r="A36" s="1">
        <v>40</v>
      </c>
      <c r="B36" s="5" t="s">
        <v>25</v>
      </c>
      <c r="C36" s="6">
        <v>0.17899999999999999</v>
      </c>
      <c r="D36" s="7">
        <v>61333</v>
      </c>
      <c r="E36" s="8">
        <v>34045</v>
      </c>
    </row>
    <row r="37" spans="1:5" ht="16">
      <c r="A37" s="1">
        <v>5</v>
      </c>
      <c r="B37" s="5" t="s">
        <v>13</v>
      </c>
      <c r="C37" s="6">
        <v>0.19500000000000001</v>
      </c>
      <c r="D37" s="7">
        <v>232565</v>
      </c>
      <c r="E37" s="8">
        <v>32550</v>
      </c>
    </row>
    <row r="38" spans="1:5">
      <c r="A38" s="1">
        <v>8</v>
      </c>
      <c r="B38" s="5" t="s">
        <v>43</v>
      </c>
      <c r="C38" s="6">
        <v>0.13200000000000001</v>
      </c>
      <c r="D38" s="7">
        <v>160472</v>
      </c>
      <c r="E38" s="8">
        <v>32310</v>
      </c>
    </row>
    <row r="39" spans="1:5">
      <c r="A39" s="1">
        <v>24</v>
      </c>
      <c r="B39" s="1" t="s">
        <v>22</v>
      </c>
      <c r="C39" s="2">
        <v>0.18099999999999999</v>
      </c>
      <c r="D39" s="3">
        <v>94382</v>
      </c>
      <c r="E39" s="4">
        <v>40331</v>
      </c>
    </row>
    <row r="40" spans="1:5">
      <c r="A40" s="1">
        <v>38</v>
      </c>
      <c r="B40" s="5" t="s">
        <v>23</v>
      </c>
      <c r="C40" s="6">
        <v>0.18</v>
      </c>
      <c r="D40" s="7">
        <v>63993</v>
      </c>
      <c r="E40" s="8">
        <v>38346</v>
      </c>
    </row>
    <row r="41" spans="1:5">
      <c r="A41" s="1">
        <v>44</v>
      </c>
      <c r="B41" s="5" t="s">
        <v>39</v>
      </c>
      <c r="C41" s="6">
        <v>0.14699999999999999</v>
      </c>
      <c r="D41" s="7">
        <v>55884</v>
      </c>
      <c r="E41" s="8">
        <v>37343</v>
      </c>
    </row>
    <row r="42" spans="1:5">
      <c r="A42" s="1">
        <v>7</v>
      </c>
      <c r="B42" s="1" t="s">
        <v>40</v>
      </c>
      <c r="C42" s="2">
        <v>0.14599999999999999</v>
      </c>
      <c r="D42" s="3">
        <v>164517</v>
      </c>
      <c r="E42" s="4">
        <v>28793</v>
      </c>
    </row>
    <row r="43" spans="1:5">
      <c r="A43" s="1">
        <v>9</v>
      </c>
      <c r="B43" s="5" t="s">
        <v>47</v>
      </c>
      <c r="C43" s="6">
        <v>0.125</v>
      </c>
      <c r="D43" s="7">
        <v>137559</v>
      </c>
      <c r="E43" s="8">
        <v>39500</v>
      </c>
    </row>
    <row r="44" spans="1:5" ht="16">
      <c r="A44" s="1">
        <v>15</v>
      </c>
      <c r="B44" s="5" t="s">
        <v>31</v>
      </c>
      <c r="C44" s="6">
        <v>0.16800000000000001</v>
      </c>
      <c r="D44" s="7">
        <v>125317</v>
      </c>
      <c r="E44" s="8">
        <v>65393</v>
      </c>
    </row>
    <row r="45" spans="1:5">
      <c r="A45" s="1">
        <v>13</v>
      </c>
      <c r="B45" s="1" t="s">
        <v>6</v>
      </c>
      <c r="C45" s="2">
        <v>0.21199999999999999</v>
      </c>
      <c r="D45" s="3">
        <v>129437</v>
      </c>
      <c r="E45" s="4">
        <v>52385</v>
      </c>
    </row>
    <row r="46" spans="1:5">
      <c r="A46" s="1">
        <v>45</v>
      </c>
      <c r="B46" s="1" t="s">
        <v>20</v>
      </c>
      <c r="C46" s="2">
        <v>0.183</v>
      </c>
      <c r="D46" s="3">
        <v>53641</v>
      </c>
      <c r="E46" s="4">
        <v>34435</v>
      </c>
    </row>
    <row r="47" spans="1:5">
      <c r="A47" s="1">
        <v>34</v>
      </c>
      <c r="B47" s="5" t="s">
        <v>21</v>
      </c>
      <c r="C47" s="6">
        <v>0.182</v>
      </c>
      <c r="D47" s="7">
        <v>73572</v>
      </c>
      <c r="E47" s="8">
        <v>26128</v>
      </c>
    </row>
    <row r="48" spans="1:5">
      <c r="A48" s="1">
        <v>43</v>
      </c>
      <c r="B48" s="1" t="s">
        <v>16</v>
      </c>
      <c r="C48" s="2">
        <v>0.191</v>
      </c>
      <c r="D48" s="3">
        <v>56770</v>
      </c>
      <c r="E48" s="4">
        <v>30675</v>
      </c>
    </row>
    <row r="49" spans="1:5" ht="16">
      <c r="A49" s="1">
        <v>49</v>
      </c>
      <c r="B49" s="1" t="s">
        <v>44</v>
      </c>
      <c r="C49" s="2">
        <v>0.129</v>
      </c>
      <c r="D49" s="3">
        <v>43898</v>
      </c>
      <c r="E49" s="4">
        <v>39690</v>
      </c>
    </row>
    <row r="50" spans="1:5" ht="16">
      <c r="A50" s="1">
        <v>10</v>
      </c>
      <c r="B50" s="5" t="s">
        <v>3</v>
      </c>
      <c r="C50" s="6">
        <v>0.24399999999999999</v>
      </c>
      <c r="D50" s="7">
        <v>131010</v>
      </c>
      <c r="E50" s="8">
        <v>57851</v>
      </c>
    </row>
    <row r="51" spans="1:5">
      <c r="A51" s="1">
        <v>47</v>
      </c>
      <c r="B51" s="1" t="s">
        <v>24</v>
      </c>
      <c r="C51" s="2">
        <v>0.18</v>
      </c>
      <c r="D51" s="3">
        <v>51478</v>
      </c>
      <c r="E51" s="4">
        <v>30972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6A2F-C53E-4CF1-BAE3-F2E85FDEC786}">
  <dimension ref="A1:E51"/>
  <sheetViews>
    <sheetView topLeftCell="A30" workbookViewId="0">
      <selection sqref="A1:A51"/>
    </sheetView>
  </sheetViews>
  <sheetFormatPr defaultRowHeight="14.5"/>
  <cols>
    <col min="3" max="3" width="18.6328125" customWidth="1"/>
    <col min="4" max="4" width="16.90625" customWidth="1"/>
    <col min="5" max="5" width="16.08984375" customWidth="1"/>
  </cols>
  <sheetData>
    <row r="1" spans="1:5" ht="29">
      <c r="A1" s="9" t="s">
        <v>54</v>
      </c>
      <c r="B1" s="9" t="s">
        <v>50</v>
      </c>
      <c r="C1" s="9" t="s">
        <v>51</v>
      </c>
      <c r="D1" s="9" t="s">
        <v>52</v>
      </c>
      <c r="E1" s="9" t="s">
        <v>53</v>
      </c>
    </row>
    <row r="2" spans="1:5" ht="16">
      <c r="A2" s="1">
        <v>41</v>
      </c>
      <c r="B2" s="1" t="s">
        <v>18</v>
      </c>
      <c r="C2" s="2">
        <v>0.186</v>
      </c>
      <c r="D2" s="3">
        <v>80766</v>
      </c>
      <c r="E2" s="4">
        <v>30864</v>
      </c>
    </row>
    <row r="3" spans="1:5">
      <c r="A3" s="1">
        <v>5</v>
      </c>
      <c r="B3" s="5" t="s">
        <v>1</v>
      </c>
      <c r="C3" s="6">
        <v>0.26500000000000001</v>
      </c>
      <c r="D3" s="7">
        <v>97906</v>
      </c>
      <c r="E3" s="8">
        <v>43813</v>
      </c>
    </row>
    <row r="4" spans="1:5">
      <c r="A4" s="1">
        <v>25</v>
      </c>
      <c r="B4" s="5" t="s">
        <v>45</v>
      </c>
      <c r="C4" s="6">
        <v>0.128</v>
      </c>
      <c r="D4" s="7">
        <v>36263</v>
      </c>
      <c r="E4" s="8">
        <v>33857</v>
      </c>
    </row>
    <row r="5" spans="1:5">
      <c r="A5" s="1">
        <v>7</v>
      </c>
      <c r="B5" s="1" t="s">
        <v>28</v>
      </c>
      <c r="C5" s="2">
        <v>0.17199999999999999</v>
      </c>
      <c r="D5" s="3">
        <v>129873</v>
      </c>
      <c r="E5" s="4">
        <v>41653</v>
      </c>
    </row>
    <row r="6" spans="1:5">
      <c r="A6" s="1">
        <v>16</v>
      </c>
      <c r="B6" s="5" t="s">
        <v>7</v>
      </c>
      <c r="C6" s="6">
        <v>0.21</v>
      </c>
      <c r="D6" s="7">
        <v>95673</v>
      </c>
      <c r="E6" s="8">
        <v>36970</v>
      </c>
    </row>
    <row r="7" spans="1:5">
      <c r="A7" s="1">
        <v>8</v>
      </c>
      <c r="B7" s="5" t="s">
        <v>19</v>
      </c>
      <c r="C7" s="6">
        <v>0.183</v>
      </c>
      <c r="D7" s="7">
        <v>98649</v>
      </c>
      <c r="E7" s="8">
        <v>41125</v>
      </c>
    </row>
    <row r="8" spans="1:5">
      <c r="A8" s="1">
        <v>18</v>
      </c>
      <c r="B8" s="5" t="s">
        <v>33</v>
      </c>
      <c r="C8" s="6">
        <v>0.16400000000000001</v>
      </c>
      <c r="D8" s="7">
        <v>108242</v>
      </c>
      <c r="E8" s="8">
        <v>36340</v>
      </c>
    </row>
    <row r="9" spans="1:5">
      <c r="A9" s="1">
        <v>13</v>
      </c>
      <c r="B9" s="5" t="s">
        <v>15</v>
      </c>
      <c r="C9" s="6">
        <v>0.192</v>
      </c>
      <c r="D9" s="7">
        <v>402513</v>
      </c>
      <c r="E9" s="8">
        <v>38778</v>
      </c>
    </row>
    <row r="10" spans="1:5">
      <c r="A10" s="1">
        <v>48</v>
      </c>
      <c r="B10" s="1" t="s">
        <v>0</v>
      </c>
      <c r="C10" s="2">
        <v>0.28499999999999998</v>
      </c>
      <c r="D10" s="3">
        <v>82023</v>
      </c>
      <c r="E10" s="4">
        <v>25708</v>
      </c>
    </row>
    <row r="11" spans="1:5" ht="16">
      <c r="A11" s="1">
        <v>26</v>
      </c>
      <c r="B11" s="1" t="s">
        <v>38</v>
      </c>
      <c r="C11" s="2">
        <v>0.14799999999999999</v>
      </c>
      <c r="D11" s="3">
        <v>52395</v>
      </c>
      <c r="E11" s="4">
        <v>33260</v>
      </c>
    </row>
    <row r="12" spans="1:5">
      <c r="A12" s="1">
        <v>31</v>
      </c>
      <c r="B12" s="1" t="s">
        <v>14</v>
      </c>
      <c r="C12" s="2">
        <v>0.193</v>
      </c>
      <c r="D12" s="3">
        <v>130034</v>
      </c>
      <c r="E12" s="4">
        <v>32262</v>
      </c>
    </row>
    <row r="13" spans="1:5">
      <c r="A13" s="1">
        <v>23</v>
      </c>
      <c r="B13" s="5" t="s">
        <v>17</v>
      </c>
      <c r="C13" s="6">
        <v>0.19</v>
      </c>
      <c r="D13" s="7">
        <v>189642</v>
      </c>
      <c r="E13" s="8">
        <v>34421</v>
      </c>
    </row>
    <row r="14" spans="1:5">
      <c r="A14" s="1">
        <v>6</v>
      </c>
      <c r="B14" s="5" t="s">
        <v>5</v>
      </c>
      <c r="C14" s="6">
        <v>0.22</v>
      </c>
      <c r="D14" s="7">
        <v>123572</v>
      </c>
      <c r="E14" s="8">
        <v>42409</v>
      </c>
    </row>
    <row r="15" spans="1:5">
      <c r="A15" s="1">
        <v>49</v>
      </c>
      <c r="B15" s="1" t="s">
        <v>4</v>
      </c>
      <c r="C15" s="2">
        <v>0.22500000000000001</v>
      </c>
      <c r="D15" s="3">
        <v>111468</v>
      </c>
      <c r="E15" s="4">
        <v>25389</v>
      </c>
    </row>
    <row r="16" spans="1:5">
      <c r="A16" s="1">
        <v>50</v>
      </c>
      <c r="B16" s="1" t="s">
        <v>46</v>
      </c>
      <c r="C16" s="2">
        <v>0.126</v>
      </c>
      <c r="D16" s="3">
        <v>62597</v>
      </c>
      <c r="E16" s="4">
        <v>24989</v>
      </c>
    </row>
    <row r="17" spans="1:5">
      <c r="A17" s="1">
        <v>27</v>
      </c>
      <c r="B17" s="1" t="s">
        <v>48</v>
      </c>
      <c r="C17" s="2">
        <v>0.123</v>
      </c>
      <c r="D17" s="3">
        <v>78542</v>
      </c>
      <c r="E17" s="4">
        <v>32911</v>
      </c>
    </row>
    <row r="18" spans="1:5">
      <c r="A18" s="1">
        <v>38</v>
      </c>
      <c r="B18" s="5" t="s">
        <v>37</v>
      </c>
      <c r="C18" s="6">
        <v>0.153</v>
      </c>
      <c r="D18" s="7">
        <v>262003</v>
      </c>
      <c r="E18" s="8">
        <v>31613</v>
      </c>
    </row>
    <row r="19" spans="1:5">
      <c r="A19" s="1">
        <v>32</v>
      </c>
      <c r="B19" s="5" t="s">
        <v>11</v>
      </c>
      <c r="C19" s="6">
        <v>0.19900000000000001</v>
      </c>
      <c r="D19" s="7">
        <v>127110</v>
      </c>
      <c r="E19" s="8">
        <v>32122</v>
      </c>
    </row>
    <row r="20" spans="1:5">
      <c r="A20" s="1">
        <v>33</v>
      </c>
      <c r="B20" s="5" t="s">
        <v>35</v>
      </c>
      <c r="C20" s="6">
        <v>0.16</v>
      </c>
      <c r="D20" s="7">
        <v>107791</v>
      </c>
      <c r="E20" s="8">
        <v>32016</v>
      </c>
    </row>
    <row r="21" spans="1:5" ht="16">
      <c r="A21" s="1">
        <v>19</v>
      </c>
      <c r="B21" s="1" t="s">
        <v>10</v>
      </c>
      <c r="C21" s="2">
        <v>0.20599999999999999</v>
      </c>
      <c r="D21" s="3">
        <v>76281</v>
      </c>
      <c r="E21" s="4">
        <v>36195</v>
      </c>
    </row>
    <row r="22" spans="1:5">
      <c r="A22" s="1">
        <v>29</v>
      </c>
      <c r="B22" s="5" t="s">
        <v>41</v>
      </c>
      <c r="C22" s="6">
        <v>0.14599999999999999</v>
      </c>
      <c r="D22" s="7">
        <v>70816</v>
      </c>
      <c r="E22" s="8">
        <v>32474</v>
      </c>
    </row>
    <row r="23" spans="1:5">
      <c r="A23" s="1">
        <v>20</v>
      </c>
      <c r="B23" s="1" t="s">
        <v>34</v>
      </c>
      <c r="C23" s="2">
        <v>0.16200000000000001</v>
      </c>
      <c r="D23" s="3">
        <v>58495</v>
      </c>
      <c r="E23" s="4">
        <v>35476</v>
      </c>
    </row>
    <row r="24" spans="1:5" ht="16">
      <c r="A24" s="1">
        <v>34</v>
      </c>
      <c r="B24" s="1" t="s">
        <v>42</v>
      </c>
      <c r="C24" s="2">
        <v>0.13600000000000001</v>
      </c>
      <c r="D24" s="3">
        <v>421527</v>
      </c>
      <c r="E24" s="4">
        <v>31951</v>
      </c>
    </row>
    <row r="25" spans="1:5">
      <c r="A25" s="1">
        <v>37</v>
      </c>
      <c r="B25" s="5" t="s">
        <v>27</v>
      </c>
      <c r="C25" s="6">
        <v>0.17499999999999999</v>
      </c>
      <c r="D25" s="7">
        <v>81320</v>
      </c>
      <c r="E25" s="8">
        <v>31848</v>
      </c>
    </row>
    <row r="26" spans="1:5">
      <c r="A26" s="1">
        <v>46</v>
      </c>
      <c r="B26" s="5" t="s">
        <v>9</v>
      </c>
      <c r="C26" s="6">
        <v>0.20699999999999999</v>
      </c>
      <c r="D26" s="7">
        <v>97908</v>
      </c>
      <c r="E26" s="8">
        <v>27396</v>
      </c>
    </row>
    <row r="27" spans="1:5">
      <c r="A27" s="1">
        <v>35</v>
      </c>
      <c r="B27" s="5" t="s">
        <v>49</v>
      </c>
      <c r="C27" s="6">
        <v>0.123</v>
      </c>
      <c r="D27" s="7">
        <v>46903</v>
      </c>
      <c r="E27" s="8">
        <v>31882</v>
      </c>
    </row>
    <row r="28" spans="1:5">
      <c r="A28" s="1">
        <v>43</v>
      </c>
      <c r="B28" s="1" t="s">
        <v>26</v>
      </c>
      <c r="C28" s="2">
        <v>0.17599999999999999</v>
      </c>
      <c r="D28" s="3">
        <v>66522</v>
      </c>
      <c r="E28" s="4">
        <v>29567</v>
      </c>
    </row>
    <row r="29" spans="1:5">
      <c r="A29" s="1">
        <v>44</v>
      </c>
      <c r="B29" s="1" t="s">
        <v>12</v>
      </c>
      <c r="C29" s="2">
        <v>0.19600000000000001</v>
      </c>
      <c r="D29" s="3">
        <v>83107</v>
      </c>
      <c r="E29" s="4">
        <v>29274</v>
      </c>
    </row>
    <row r="30" spans="1:5" ht="16">
      <c r="A30" s="1">
        <v>17</v>
      </c>
      <c r="B30" s="1" t="s">
        <v>8</v>
      </c>
      <c r="C30" s="2">
        <v>0.21</v>
      </c>
      <c r="D30" s="3">
        <v>67978</v>
      </c>
      <c r="E30" s="4">
        <v>36784</v>
      </c>
    </row>
    <row r="31" spans="1:5">
      <c r="A31" s="1">
        <v>21</v>
      </c>
      <c r="B31" s="5" t="s">
        <v>29</v>
      </c>
      <c r="C31" s="6">
        <v>0.17199999999999999</v>
      </c>
      <c r="D31" s="7">
        <v>87180</v>
      </c>
      <c r="E31" s="8">
        <v>35237</v>
      </c>
    </row>
    <row r="32" spans="1:5" ht="16">
      <c r="A32" s="1">
        <v>39</v>
      </c>
      <c r="B32" s="1" t="s">
        <v>2</v>
      </c>
      <c r="C32" s="2">
        <v>0.25900000000000001</v>
      </c>
      <c r="D32" s="3">
        <v>76589</v>
      </c>
      <c r="E32" s="4">
        <v>31346</v>
      </c>
    </row>
    <row r="33" spans="1:5">
      <c r="A33" s="1">
        <v>9</v>
      </c>
      <c r="B33" s="1" t="s">
        <v>36</v>
      </c>
      <c r="C33" s="2">
        <v>0.158</v>
      </c>
      <c r="D33" s="3">
        <v>1024288</v>
      </c>
      <c r="E33" s="4">
        <v>40932</v>
      </c>
    </row>
    <row r="34" spans="1:5">
      <c r="A34" s="1">
        <v>4</v>
      </c>
      <c r="B34" s="1" t="s">
        <v>30</v>
      </c>
      <c r="C34" s="2">
        <v>0.17</v>
      </c>
      <c r="D34" s="3">
        <v>57880</v>
      </c>
      <c r="E34" s="4">
        <v>47378</v>
      </c>
    </row>
    <row r="35" spans="1:5" ht="16">
      <c r="A35" s="1">
        <v>36</v>
      </c>
      <c r="B35" s="1" t="s">
        <v>32</v>
      </c>
      <c r="C35" s="2">
        <v>0.16800000000000001</v>
      </c>
      <c r="D35" s="3">
        <v>78998</v>
      </c>
      <c r="E35" s="4">
        <v>31862</v>
      </c>
    </row>
    <row r="36" spans="1:5">
      <c r="A36" s="1">
        <v>24</v>
      </c>
      <c r="B36" s="5" t="s">
        <v>25</v>
      </c>
      <c r="C36" s="6">
        <v>0.17899999999999999</v>
      </c>
      <c r="D36" s="7">
        <v>61333</v>
      </c>
      <c r="E36" s="8">
        <v>34045</v>
      </c>
    </row>
    <row r="37" spans="1:5" ht="16">
      <c r="A37" s="1">
        <v>28</v>
      </c>
      <c r="B37" s="5" t="s">
        <v>13</v>
      </c>
      <c r="C37" s="6">
        <v>0.19500000000000001</v>
      </c>
      <c r="D37" s="7">
        <v>232565</v>
      </c>
      <c r="E37" s="8">
        <v>32550</v>
      </c>
    </row>
    <row r="38" spans="1:5">
      <c r="A38" s="1">
        <v>30</v>
      </c>
      <c r="B38" s="5" t="s">
        <v>43</v>
      </c>
      <c r="C38" s="6">
        <v>0.13200000000000001</v>
      </c>
      <c r="D38" s="7">
        <v>160472</v>
      </c>
      <c r="E38" s="8">
        <v>32310</v>
      </c>
    </row>
    <row r="39" spans="1:5">
      <c r="A39" s="1">
        <v>10</v>
      </c>
      <c r="B39" s="1" t="s">
        <v>22</v>
      </c>
      <c r="C39" s="2">
        <v>0.18099999999999999</v>
      </c>
      <c r="D39" s="3">
        <v>94382</v>
      </c>
      <c r="E39" s="4">
        <v>40331</v>
      </c>
    </row>
    <row r="40" spans="1:5">
      <c r="A40" s="1">
        <v>14</v>
      </c>
      <c r="B40" s="5" t="s">
        <v>23</v>
      </c>
      <c r="C40" s="6">
        <v>0.18</v>
      </c>
      <c r="D40" s="7">
        <v>63993</v>
      </c>
      <c r="E40" s="8">
        <v>38346</v>
      </c>
    </row>
    <row r="41" spans="1:5">
      <c r="A41" s="1">
        <v>15</v>
      </c>
      <c r="B41" s="5" t="s">
        <v>39</v>
      </c>
      <c r="C41" s="6">
        <v>0.14699999999999999</v>
      </c>
      <c r="D41" s="7">
        <v>55884</v>
      </c>
      <c r="E41" s="8">
        <v>37343</v>
      </c>
    </row>
    <row r="42" spans="1:5">
      <c r="A42" s="1">
        <v>45</v>
      </c>
      <c r="B42" s="1" t="s">
        <v>40</v>
      </c>
      <c r="C42" s="2">
        <v>0.14599999999999999</v>
      </c>
      <c r="D42" s="3">
        <v>164517</v>
      </c>
      <c r="E42" s="4">
        <v>28793</v>
      </c>
    </row>
    <row r="43" spans="1:5">
      <c r="A43" s="1">
        <v>12</v>
      </c>
      <c r="B43" s="5" t="s">
        <v>47</v>
      </c>
      <c r="C43" s="6">
        <v>0.125</v>
      </c>
      <c r="D43" s="7">
        <v>137559</v>
      </c>
      <c r="E43" s="8">
        <v>39500</v>
      </c>
    </row>
    <row r="44" spans="1:5" ht="16">
      <c r="A44" s="1">
        <v>1</v>
      </c>
      <c r="B44" s="5" t="s">
        <v>31</v>
      </c>
      <c r="C44" s="6">
        <v>0.16800000000000001</v>
      </c>
      <c r="D44" s="7">
        <v>125317</v>
      </c>
      <c r="E44" s="8">
        <v>65393</v>
      </c>
    </row>
    <row r="45" spans="1:5">
      <c r="A45" s="1">
        <v>3</v>
      </c>
      <c r="B45" s="1" t="s">
        <v>6</v>
      </c>
      <c r="C45" s="2">
        <v>0.21199999999999999</v>
      </c>
      <c r="D45" s="3">
        <v>129437</v>
      </c>
      <c r="E45" s="4">
        <v>52385</v>
      </c>
    </row>
    <row r="46" spans="1:5">
      <c r="A46" s="1">
        <v>22</v>
      </c>
      <c r="B46" s="1" t="s">
        <v>20</v>
      </c>
      <c r="C46" s="2">
        <v>0.183</v>
      </c>
      <c r="D46" s="3">
        <v>53641</v>
      </c>
      <c r="E46" s="4">
        <v>34435</v>
      </c>
    </row>
    <row r="47" spans="1:5">
      <c r="A47" s="1">
        <v>47</v>
      </c>
      <c r="B47" s="5" t="s">
        <v>21</v>
      </c>
      <c r="C47" s="6">
        <v>0.182</v>
      </c>
      <c r="D47" s="7">
        <v>73572</v>
      </c>
      <c r="E47" s="8">
        <v>26128</v>
      </c>
    </row>
    <row r="48" spans="1:5">
      <c r="A48" s="1">
        <v>42</v>
      </c>
      <c r="B48" s="1" t="s">
        <v>16</v>
      </c>
      <c r="C48" s="2">
        <v>0.191</v>
      </c>
      <c r="D48" s="3">
        <v>56770</v>
      </c>
      <c r="E48" s="4">
        <v>30675</v>
      </c>
    </row>
    <row r="49" spans="1:5" ht="16">
      <c r="A49" s="1">
        <v>11</v>
      </c>
      <c r="B49" s="1" t="s">
        <v>44</v>
      </c>
      <c r="C49" s="2">
        <v>0.129</v>
      </c>
      <c r="D49" s="3">
        <v>43898</v>
      </c>
      <c r="E49" s="4">
        <v>39690</v>
      </c>
    </row>
    <row r="50" spans="1:5" ht="16">
      <c r="A50" s="1">
        <v>2</v>
      </c>
      <c r="B50" s="5" t="s">
        <v>3</v>
      </c>
      <c r="C50" s="6">
        <v>0.24399999999999999</v>
      </c>
      <c r="D50" s="7">
        <v>131010</v>
      </c>
      <c r="E50" s="8">
        <v>57851</v>
      </c>
    </row>
    <row r="51" spans="1:5">
      <c r="A51" s="1">
        <v>40</v>
      </c>
      <c r="B51" s="1" t="s">
        <v>24</v>
      </c>
      <c r="C51" s="2">
        <v>0.18</v>
      </c>
      <c r="D51" s="3">
        <v>51478</v>
      </c>
      <c r="E51" s="4">
        <v>30972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% live alone</vt:lpstr>
      <vt:lpstr># living alone</vt:lpstr>
      <vt:lpstr>Median personal 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brooks_hanson</dc:creator>
  <cp:lastModifiedBy>Brooks Hanson</cp:lastModifiedBy>
  <dcterms:created xsi:type="dcterms:W3CDTF">2020-09-27T23:23:19Z</dcterms:created>
  <dcterms:modified xsi:type="dcterms:W3CDTF">2020-09-28T00:47:43Z</dcterms:modified>
</cp:coreProperties>
</file>